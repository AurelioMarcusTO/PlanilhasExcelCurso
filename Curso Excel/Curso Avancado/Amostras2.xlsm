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pivotTables/pivotTable1.xml" ContentType="application/vnd.openxmlformats-officedocument.spreadsheetml.pivot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EstaPasta_de_trabalho" defaultThemeVersion="124226"/>
  <bookViews>
    <workbookView xWindow="3930" yWindow="105" windowWidth="12615" windowHeight="7380" tabRatio="809" firstSheet="30" activeTab="35"/>
  </bookViews>
  <sheets>
    <sheet name="Nomes" sheetId="1" r:id="rId1"/>
    <sheet name="Organizando_Dados" sheetId="2" r:id="rId2"/>
    <sheet name="Subtotais" sheetId="3" r:id="rId3"/>
    <sheet name="Filtros" sheetId="4" r:id="rId4"/>
    <sheet name="Plan1" sheetId="36" r:id="rId5"/>
    <sheet name="Tabela_Dinamica" sheetId="5" r:id="rId6"/>
    <sheet name="Tabela dinâmica do cenário" sheetId="35" r:id="rId7"/>
    <sheet name="Plan2" sheetId="37" r:id="rId8"/>
    <sheet name="Plan3" sheetId="38" r:id="rId9"/>
    <sheet name="Resumo do cenário" sheetId="39" r:id="rId10"/>
    <sheet name="Tabela dinâmica do cenário 2" sheetId="40" r:id="rId11"/>
    <sheet name="Cenarios" sheetId="8" r:id="rId12"/>
    <sheet name="Protecao" sheetId="9" r:id="rId13"/>
    <sheet name="Validacao" sheetId="10" r:id="rId14"/>
    <sheet name="Inspecao" sheetId="11" r:id="rId15"/>
    <sheet name="Precedentes_Dependentes" sheetId="12" r:id="rId16"/>
    <sheet name="Atingir_Meta" sheetId="13" r:id="rId17"/>
    <sheet name="SOLVER" sheetId="14" r:id="rId18"/>
    <sheet name="Funcoes_de_Texto" sheetId="15" r:id="rId19"/>
    <sheet name="Mat_Trig" sheetId="16" r:id="rId20"/>
    <sheet name="Somase" sheetId="17" r:id="rId21"/>
    <sheet name="Estatisticas" sheetId="18" r:id="rId22"/>
    <sheet name="PROCH" sheetId="19" r:id="rId23"/>
    <sheet name="PROCV" sheetId="20" r:id="rId24"/>
    <sheet name="INDICE" sheetId="21" r:id="rId25"/>
    <sheet name="CORRESP" sheetId="22" r:id="rId26"/>
    <sheet name="Funcao_BD" sheetId="23" r:id="rId27"/>
    <sheet name="ÉERROS" sheetId="24" r:id="rId28"/>
    <sheet name="Funcao_VF" sheetId="25" r:id="rId29"/>
    <sheet name="Funcao_NPER" sheetId="26" r:id="rId30"/>
    <sheet name="Funcao_PGTO" sheetId="27" r:id="rId31"/>
    <sheet name="Funcao_VP" sheetId="28" r:id="rId32"/>
    <sheet name="Funcao_TAXA" sheetId="29" r:id="rId33"/>
    <sheet name="TABELA_DE_DADOS_1V" sheetId="30" r:id="rId34"/>
    <sheet name="CADASTRO" sheetId="32" r:id="rId35"/>
    <sheet name="BASEDADOS" sheetId="33" r:id="rId36"/>
  </sheets>
  <externalReferences>
    <externalReference r:id="rId37"/>
  </externalReferences>
  <definedNames>
    <definedName name="_xlnm._FilterDatabase" localSheetId="3" hidden="1">Filtros!$A$7:$H$415</definedName>
    <definedName name="_xlnm._FilterDatabase" hidden="1">Filtros!$A$7:$H$415</definedName>
    <definedName name="_xlnm.Extract" localSheetId="3">Filtros!$A$420:$H$420</definedName>
    <definedName name="Cota_Dolar">Nomes!$H$3</definedName>
    <definedName name="_xlnm.Criteria">Filtros!$D$1:$G$2</definedName>
    <definedName name="Documentos_importasdos" localSheetId="7">Plan2!$A$1:$N$878</definedName>
    <definedName name="Dolar_cota">Inspecao!$H$3</definedName>
    <definedName name="Importa_Access.accdb_1" localSheetId="8" hidden="1">Plan3!$A$1:$J$78</definedName>
    <definedName name="Qtde_Donos">[1]Validacao!$H$2:$H$4</definedName>
    <definedName name="solver_adj" localSheetId="17" hidden="1">SOLVER!$C$13:$C$16</definedName>
    <definedName name="solver_cvg" localSheetId="17" hidden="1">0.0001</definedName>
    <definedName name="solver_drv" localSheetId="17" hidden="1">1</definedName>
    <definedName name="solver_est" localSheetId="17" hidden="1">1</definedName>
    <definedName name="solver_itr" localSheetId="17" hidden="1">100</definedName>
    <definedName name="solver_lhs1" localSheetId="17" hidden="1">SOLVER!$C$13</definedName>
    <definedName name="solver_lhs2" localSheetId="17" hidden="1">SOLVER!$C$14</definedName>
    <definedName name="solver_lhs3" localSheetId="17" hidden="1">SOLVER!$C$15</definedName>
    <definedName name="solver_lhs4" localSheetId="17" hidden="1">SOLVER!$C$16</definedName>
    <definedName name="solver_lin" localSheetId="17" hidden="1">2</definedName>
    <definedName name="solver_neg" localSheetId="17" hidden="1">2</definedName>
    <definedName name="solver_num" localSheetId="17" hidden="1">4</definedName>
    <definedName name="solver_nwt" localSheetId="17" hidden="1">1</definedName>
    <definedName name="solver_opt" localSheetId="17" hidden="1">SOLVER!$D$17</definedName>
    <definedName name="solver_pre" localSheetId="17" hidden="1">0.000001</definedName>
    <definedName name="solver_rel1" localSheetId="17" hidden="1">2</definedName>
    <definedName name="solver_rel2" localSheetId="17" hidden="1">2</definedName>
    <definedName name="solver_rel3" localSheetId="17" hidden="1">2</definedName>
    <definedName name="solver_rel4" localSheetId="17" hidden="1">2</definedName>
    <definedName name="solver_rhs1" localSheetId="17" hidden="1">SOLVER!$B$6</definedName>
    <definedName name="solver_rhs2" localSheetId="17" hidden="1">SOLVER!$B$7</definedName>
    <definedName name="solver_scl" localSheetId="17" hidden="1">2</definedName>
    <definedName name="solver_sho" localSheetId="17" hidden="1">2</definedName>
    <definedName name="solver_tim" localSheetId="17" hidden="1">100</definedName>
    <definedName name="solver_tol" localSheetId="17" hidden="1">0.05</definedName>
    <definedName name="solver_typ" localSheetId="17" hidden="1">1</definedName>
    <definedName name="solver_val" localSheetId="17" hidden="1">0</definedName>
  </definedNames>
  <calcPr calcId="124519"/>
  <pivotCaches>
    <pivotCache cacheId="0" r:id="rId38"/>
    <pivotCache cacheId="1" r:id="rId39"/>
    <pivotCache cacheId="2" r:id="rId40"/>
  </pivotCaches>
</workbook>
</file>

<file path=xl/calcChain.xml><?xml version="1.0" encoding="utf-8"?>
<calcChain xmlns="http://schemas.openxmlformats.org/spreadsheetml/2006/main">
  <c r="D5" i="33"/>
  <c r="D4"/>
  <c r="D3"/>
  <c r="D2" i="32"/>
  <c r="D2" i="33"/>
  <c r="B6" i="30"/>
  <c r="B7"/>
  <c r="B8"/>
  <c r="B9"/>
  <c r="B5"/>
  <c r="E3" i="29"/>
  <c r="E2" i="28"/>
  <c r="E2" i="27"/>
  <c r="E2" i="26"/>
  <c r="E2" i="25"/>
  <c r="B4" i="24"/>
  <c r="M36" i="23"/>
  <c r="M29"/>
  <c r="M22"/>
  <c r="M15"/>
  <c r="M7"/>
  <c r="E4" i="11"/>
  <c r="E5"/>
  <c r="E6"/>
  <c r="E7"/>
  <c r="E8"/>
  <c r="E9"/>
  <c r="E10"/>
  <c r="E3"/>
  <c r="D6" i="1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5"/>
  <c r="D14" i="14"/>
  <c r="D15"/>
  <c r="D16"/>
  <c r="D13"/>
  <c r="D4" i="11"/>
  <c r="D5"/>
  <c r="D6"/>
  <c r="D7"/>
  <c r="D8"/>
  <c r="D9"/>
  <c r="D10"/>
  <c r="D3"/>
  <c r="F7" i="8"/>
  <c r="G7" s="1"/>
  <c r="F8"/>
  <c r="G8" s="1"/>
  <c r="F6"/>
  <c r="G6" s="1"/>
  <c r="F4"/>
  <c r="G4" s="1"/>
  <c r="F5"/>
  <c r="G5" s="1"/>
  <c r="F3"/>
  <c r="G3" s="1"/>
  <c r="D17" i="14" l="1"/>
  <c r="A14" i="15"/>
  <c r="A15"/>
  <c r="A16"/>
  <c r="A17"/>
  <c r="A18"/>
  <c r="A19"/>
  <c r="A20"/>
  <c r="A13"/>
  <c r="I41" i="23" l="1"/>
  <c r="H41"/>
  <c r="G41"/>
  <c r="F41"/>
  <c r="I40"/>
  <c r="H40"/>
  <c r="G40"/>
  <c r="F40"/>
  <c r="I39"/>
  <c r="H39"/>
  <c r="G39"/>
  <c r="F39"/>
  <c r="I38"/>
  <c r="H38"/>
  <c r="G38"/>
  <c r="F38"/>
  <c r="I37"/>
  <c r="H37"/>
  <c r="G37"/>
  <c r="F37"/>
  <c r="I36"/>
  <c r="H36"/>
  <c r="G36"/>
  <c r="F36"/>
  <c r="I35"/>
  <c r="H35"/>
  <c r="G35"/>
  <c r="F35"/>
  <c r="I34"/>
  <c r="H34"/>
  <c r="G34"/>
  <c r="F34"/>
  <c r="I33"/>
  <c r="H33"/>
  <c r="G33"/>
  <c r="F33"/>
  <c r="I32"/>
  <c r="H32"/>
  <c r="G32"/>
  <c r="F32"/>
  <c r="I31"/>
  <c r="H31"/>
  <c r="G31"/>
  <c r="F31"/>
  <c r="I30"/>
  <c r="H30"/>
  <c r="G30"/>
  <c r="F30"/>
  <c r="I29"/>
  <c r="H29"/>
  <c r="G29"/>
  <c r="F29"/>
  <c r="I28"/>
  <c r="H28"/>
  <c r="G28"/>
  <c r="F28"/>
  <c r="I27"/>
  <c r="H27"/>
  <c r="G27"/>
  <c r="F27"/>
  <c r="I26"/>
  <c r="H26"/>
  <c r="G26"/>
  <c r="F26"/>
  <c r="I25"/>
  <c r="H25"/>
  <c r="G25"/>
  <c r="F25"/>
  <c r="I24"/>
  <c r="H24"/>
  <c r="G24"/>
  <c r="F24"/>
  <c r="I23"/>
  <c r="H23"/>
  <c r="G23"/>
  <c r="F23"/>
  <c r="I22"/>
  <c r="H22"/>
  <c r="G22"/>
  <c r="F22"/>
  <c r="I21"/>
  <c r="H21"/>
  <c r="G21"/>
  <c r="F21"/>
  <c r="I20"/>
  <c r="H20"/>
  <c r="G20"/>
  <c r="F20"/>
  <c r="I19"/>
  <c r="H19"/>
  <c r="G19"/>
  <c r="F19"/>
  <c r="I18"/>
  <c r="H18"/>
  <c r="G18"/>
  <c r="F18"/>
  <c r="I17"/>
  <c r="H17"/>
  <c r="G17"/>
  <c r="F17"/>
  <c r="I16"/>
  <c r="H16"/>
  <c r="G16"/>
  <c r="F16"/>
  <c r="I15"/>
  <c r="H15"/>
  <c r="G15"/>
  <c r="F15"/>
  <c r="I14"/>
  <c r="H14"/>
  <c r="G14"/>
  <c r="F14"/>
  <c r="I13"/>
  <c r="H13"/>
  <c r="G13"/>
  <c r="F13"/>
  <c r="I12"/>
  <c r="H12"/>
  <c r="G12"/>
  <c r="F12"/>
  <c r="I11"/>
  <c r="H11"/>
  <c r="G11"/>
  <c r="F11"/>
  <c r="I10"/>
  <c r="H10"/>
  <c r="G10"/>
  <c r="F10"/>
  <c r="I9"/>
  <c r="H9"/>
  <c r="G9"/>
  <c r="F9"/>
  <c r="I8"/>
  <c r="H8"/>
  <c r="G8"/>
  <c r="F8"/>
  <c r="I7"/>
  <c r="H7"/>
  <c r="G7"/>
  <c r="F7"/>
  <c r="I6"/>
  <c r="H6"/>
  <c r="G6"/>
  <c r="F6"/>
  <c r="I5"/>
  <c r="H5"/>
  <c r="G5"/>
  <c r="F5"/>
  <c r="I4"/>
  <c r="H4"/>
  <c r="G4"/>
  <c r="F4"/>
  <c r="I3"/>
  <c r="H3"/>
  <c r="G3"/>
  <c r="F3"/>
  <c r="I2"/>
  <c r="H2"/>
  <c r="G2"/>
  <c r="F2"/>
  <c r="I42" i="21"/>
  <c r="H42"/>
  <c r="G42"/>
  <c r="F42"/>
  <c r="I41"/>
  <c r="H41"/>
  <c r="G41"/>
  <c r="F41"/>
  <c r="I40"/>
  <c r="H40"/>
  <c r="G40"/>
  <c r="F40"/>
  <c r="I39"/>
  <c r="H39"/>
  <c r="G39"/>
  <c r="F39"/>
  <c r="I38"/>
  <c r="H38"/>
  <c r="G38"/>
  <c r="F38"/>
  <c r="I37"/>
  <c r="H37"/>
  <c r="G37"/>
  <c r="F37"/>
  <c r="I36"/>
  <c r="H36"/>
  <c r="G36"/>
  <c r="F36"/>
  <c r="I35"/>
  <c r="H35"/>
  <c r="G35"/>
  <c r="F35"/>
  <c r="I34"/>
  <c r="H34"/>
  <c r="G34"/>
  <c r="F34"/>
  <c r="I33"/>
  <c r="H33"/>
  <c r="G33"/>
  <c r="F33"/>
  <c r="I32"/>
  <c r="H32"/>
  <c r="G32"/>
  <c r="F32"/>
  <c r="I31"/>
  <c r="H31"/>
  <c r="G31"/>
  <c r="F31"/>
  <c r="I30"/>
  <c r="H30"/>
  <c r="G30"/>
  <c r="F30"/>
  <c r="I29"/>
  <c r="H29"/>
  <c r="G29"/>
  <c r="F29"/>
  <c r="I28"/>
  <c r="H28"/>
  <c r="G28"/>
  <c r="F28"/>
  <c r="I27"/>
  <c r="H27"/>
  <c r="G27"/>
  <c r="F27"/>
  <c r="I26"/>
  <c r="H26"/>
  <c r="G26"/>
  <c r="F26"/>
  <c r="I25"/>
  <c r="H25"/>
  <c r="G25"/>
  <c r="F25"/>
  <c r="I24"/>
  <c r="H24"/>
  <c r="G24"/>
  <c r="F24"/>
  <c r="I23"/>
  <c r="H23"/>
  <c r="G23"/>
  <c r="F23"/>
  <c r="I22"/>
  <c r="H22"/>
  <c r="G22"/>
  <c r="F22"/>
  <c r="I21"/>
  <c r="H21"/>
  <c r="G21"/>
  <c r="F21"/>
  <c r="I20"/>
  <c r="H20"/>
  <c r="G20"/>
  <c r="F20"/>
  <c r="I19"/>
  <c r="H19"/>
  <c r="G19"/>
  <c r="F19"/>
  <c r="I18"/>
  <c r="H18"/>
  <c r="G18"/>
  <c r="F18"/>
  <c r="I17"/>
  <c r="H17"/>
  <c r="G17"/>
  <c r="F17"/>
  <c r="I16"/>
  <c r="H16"/>
  <c r="G16"/>
  <c r="F16"/>
  <c r="I15"/>
  <c r="H15"/>
  <c r="G15"/>
  <c r="F15"/>
  <c r="I14"/>
  <c r="H14"/>
  <c r="G14"/>
  <c r="F14"/>
  <c r="I13"/>
  <c r="H13"/>
  <c r="G13"/>
  <c r="F13"/>
  <c r="I12"/>
  <c r="H12"/>
  <c r="G12"/>
  <c r="F12"/>
  <c r="I11"/>
  <c r="H11"/>
  <c r="G11"/>
  <c r="F11"/>
  <c r="I10"/>
  <c r="H10"/>
  <c r="G10"/>
  <c r="F10"/>
  <c r="I9"/>
  <c r="H9"/>
  <c r="G9"/>
  <c r="F9"/>
  <c r="I8"/>
  <c r="H8"/>
  <c r="G8"/>
  <c r="F8"/>
  <c r="I7"/>
  <c r="H7"/>
  <c r="G7"/>
  <c r="F7"/>
  <c r="I6"/>
  <c r="H6"/>
  <c r="G6"/>
  <c r="F6"/>
  <c r="I5"/>
  <c r="H5"/>
  <c r="G5"/>
  <c r="F5"/>
  <c r="I4"/>
  <c r="H4"/>
  <c r="G4"/>
  <c r="F4"/>
  <c r="I3"/>
  <c r="H3"/>
  <c r="G3"/>
  <c r="F3"/>
  <c r="B1" i="19" l="1"/>
  <c r="C13" s="1"/>
  <c r="C8" l="1"/>
  <c r="C10"/>
  <c r="C12"/>
  <c r="C9"/>
  <c r="C11"/>
  <c r="F23" i="18" l="1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30" i="17" l="1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B9" i="13" l="1"/>
  <c r="E3"/>
  <c r="B8" i="12" l="1"/>
  <c r="B9"/>
  <c r="B7" i="24"/>
  <c r="D2" s="1"/>
</calcChain>
</file>

<file path=xl/connections.xml><?xml version="1.0" encoding="utf-8"?>
<connections xmlns="http://schemas.openxmlformats.org/spreadsheetml/2006/main">
  <connection id="1" sourceFile="C:\Users\Felix\Desktop\Materiais FB - 2012\2010\Excel 2010 - Avançado\Exemplos - Resolvidos\Dados_Externos_Tbl_Dinamica.xlsx" keepAlive="1" name="Dados_Externos_Tbl_Dinamica" type="5" refreshedVersion="4">
    <dbPr connection="Provider=Microsoft.ACE.OLEDB.12.0;User ID=Admin;Data Source=C:\Users\Felix\Desktop\Materiais FB - 2012\2010\Excel 2010 - Avançado\Exemplos - Resolvidos\Dados_Externos_Tbl_Dinamic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Plan1$" commandType="3"/>
  </connection>
  <connection id="2" sourceFile="C:\Users\Usuario\Documents\Curso Excel\Curso Avancado\Dados_Externos_Tbl_Dinamica.xlsx" keepAlive="1" name="Dados_Externos_Tbl_Dinamica1" type="5" refreshedVersion="3">
    <dbPr connection="Provider=Microsoft.ACE.OLEDB.12.0;User ID=Admin;Data Source=C:\Users\Usuario\Documents\Curso Excel\Curso Avancado\Dados_Externos_Tbl_Dinamic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lan1$" commandType="3"/>
  </connection>
  <connection id="3" name="Documentos_importasdos" type="6" refreshedVersion="3" background="1" saveData="1">
    <textPr sourceFile="C:\Users\Usuario\Documents\Curso Excel\Curso Avancado\Documentos_importasdos.txt" decimal="," thousands="." delimiter="*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sourceFile="C:\Users\Usuario\Documents\Curso Excel\Curso Avancado\Importa_Access.accdb" keepAlive="1" name="Importa_Access" type="5" refreshedVersion="3" background="1" saveData="1">
    <dbPr connection="Provider=Microsoft.ACE.OLEDB.12.0;User ID=Admin;Data Source=C:\Users\Usuario\Documents\Curso Excel\Curso Avancado\Importa_Acces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TblProdutos" commandType="3"/>
  </connection>
</connections>
</file>

<file path=xl/sharedStrings.xml><?xml version="1.0" encoding="utf-8"?>
<sst xmlns="http://schemas.openxmlformats.org/spreadsheetml/2006/main" count="12880" uniqueCount="1752">
  <si>
    <t>Venda de mercadorias</t>
  </si>
  <si>
    <t>Produtos</t>
  </si>
  <si>
    <t>Qtde</t>
  </si>
  <si>
    <t>Vl Unitário $</t>
  </si>
  <si>
    <t>Total $</t>
  </si>
  <si>
    <t>Impressora</t>
  </si>
  <si>
    <t>Dólar</t>
  </si>
  <si>
    <t>CPU</t>
  </si>
  <si>
    <t>Valor Total $</t>
  </si>
  <si>
    <t>Teclado</t>
  </si>
  <si>
    <t>Total Vl. Unitário $</t>
  </si>
  <si>
    <t>Mouse</t>
  </si>
  <si>
    <t>Total Vl. Unitário R$</t>
  </si>
  <si>
    <t>CD RW</t>
  </si>
  <si>
    <t>Monitor</t>
  </si>
  <si>
    <t>Notebook</t>
  </si>
  <si>
    <t>Roteador Wireless</t>
  </si>
  <si>
    <t>HD Externo 640 Gb</t>
  </si>
  <si>
    <t>Pen Drive 16Gb</t>
  </si>
  <si>
    <t>Placa de Rede</t>
  </si>
  <si>
    <t>Placa de Vídeo</t>
  </si>
  <si>
    <t>Caixa de Som</t>
  </si>
  <si>
    <t>Telefone Sem Fio</t>
  </si>
  <si>
    <t>Modem ADSL</t>
  </si>
  <si>
    <t>Som Automotivo</t>
  </si>
  <si>
    <t>DVD Automotivo</t>
  </si>
  <si>
    <t>Aspirador de Pó</t>
  </si>
  <si>
    <t>Microondas</t>
  </si>
  <si>
    <t>Baterias U</t>
  </si>
  <si>
    <t>Vl. Unitário R$</t>
  </si>
  <si>
    <t>CODIGO</t>
  </si>
  <si>
    <t>SIGLA/NOME</t>
  </si>
  <si>
    <t>BAIRRO</t>
  </si>
  <si>
    <t>CIDADE</t>
  </si>
  <si>
    <t>UF</t>
  </si>
  <si>
    <t>ACA . ELETRO ATACADAO CAMPINAS</t>
  </si>
  <si>
    <t xml:space="preserve">JARDIM STA GENEBRA  </t>
  </si>
  <si>
    <t xml:space="preserve">CAMPINAS            </t>
  </si>
  <si>
    <t>SP</t>
  </si>
  <si>
    <t xml:space="preserve">ACG . ELETRO ATACADAO CAMPINA </t>
  </si>
  <si>
    <t xml:space="preserve">JARDIM TAVARES      </t>
  </si>
  <si>
    <t xml:space="preserve">CAMPINA GRANDE      </t>
  </si>
  <si>
    <t>PB</t>
  </si>
  <si>
    <t>AEI . ELETRO ATACADAO ITAQUERA</t>
  </si>
  <si>
    <t xml:space="preserve">ITAQUERA            </t>
  </si>
  <si>
    <t xml:space="preserve">SAO PAULO           </t>
  </si>
  <si>
    <t>AEJ . ELETRO ATACADAO JUAZEIRO</t>
  </si>
  <si>
    <t xml:space="preserve">PORTO SECO          </t>
  </si>
  <si>
    <t xml:space="preserve">JUAZEIRO            </t>
  </si>
  <si>
    <t>BA</t>
  </si>
  <si>
    <t xml:space="preserve">AEM . ATACADAO ELETRO MOSSORO </t>
  </si>
  <si>
    <t xml:space="preserve">NOVA BETANIA        </t>
  </si>
  <si>
    <t xml:space="preserve">MOSSORO             </t>
  </si>
  <si>
    <t>RN</t>
  </si>
  <si>
    <t>AEN . ATACADAO ELETRO NOVA IGU</t>
  </si>
  <si>
    <t xml:space="preserve">MARIA DA LUZ   NOVA </t>
  </si>
  <si>
    <t xml:space="preserve">RIO DE JANEIRO      </t>
  </si>
  <si>
    <t>RJ</t>
  </si>
  <si>
    <t>AEP . ATACADAO ELETRO PARELHEI</t>
  </si>
  <si>
    <t xml:space="preserve">JARDIM SAO RAFAEL   </t>
  </si>
  <si>
    <t>AEV . ATACADAO ELETRO VILA VEL</t>
  </si>
  <si>
    <t>NOSSA SENHORA DA PEN</t>
  </si>
  <si>
    <t xml:space="preserve">VILA VELHA          </t>
  </si>
  <si>
    <t>ES</t>
  </si>
  <si>
    <t xml:space="preserve">AGU . ELETRO ATACADAO GUARUJA </t>
  </si>
  <si>
    <t xml:space="preserve">CACHOEIRA           </t>
  </si>
  <si>
    <t xml:space="preserve">GUARUJA             </t>
  </si>
  <si>
    <t>AJN . ELETRO ATAC JUAZEIRO NOR</t>
  </si>
  <si>
    <t xml:space="preserve">SAO JOSE            </t>
  </si>
  <si>
    <t xml:space="preserve">JUAZEIRO DO NORTE   </t>
  </si>
  <si>
    <t>CE</t>
  </si>
  <si>
    <t>ASB . ELETRO ATAC S BERNARDO C</t>
  </si>
  <si>
    <t xml:space="preserve">PLANALTO            </t>
  </si>
  <si>
    <t>SAO BERNARDO DO CAMP</t>
  </si>
  <si>
    <t>BAN . CRFO BRASILIA TERMINAL N</t>
  </si>
  <si>
    <t xml:space="preserve">ASA NORTE           </t>
  </si>
  <si>
    <t xml:space="preserve">BRASILIA            </t>
  </si>
  <si>
    <t>DF</t>
  </si>
  <si>
    <t xml:space="preserve">BCV . CRFO CASA VERDE         </t>
  </si>
  <si>
    <t xml:space="preserve">CASA VERDE          </t>
  </si>
  <si>
    <t xml:space="preserve">BGU . CRFO GUARULHOS          </t>
  </si>
  <si>
    <t xml:space="preserve">MACEDO              </t>
  </si>
  <si>
    <t xml:space="preserve">GUARULHOS           </t>
  </si>
  <si>
    <t xml:space="preserve">BHA . BH AMERICA              </t>
  </si>
  <si>
    <t xml:space="preserve">SANTA EFIGENIA      </t>
  </si>
  <si>
    <t xml:space="preserve">BELO HORIZONTE      </t>
  </si>
  <si>
    <t>MG</t>
  </si>
  <si>
    <t xml:space="preserve">BHC.CRFO CONTAGEM             </t>
  </si>
  <si>
    <t xml:space="preserve">RIACHO              </t>
  </si>
  <si>
    <t xml:space="preserve">CONTAGEM            </t>
  </si>
  <si>
    <t xml:space="preserve">BHD.CRFO DEL REY              </t>
  </si>
  <si>
    <t xml:space="preserve">CAICARAS            </t>
  </si>
  <si>
    <t xml:space="preserve">BHP.CRFO PAMPULHA             </t>
  </si>
  <si>
    <t xml:space="preserve">ENGENHO NOGUEIRA    </t>
  </si>
  <si>
    <t xml:space="preserve">BHS.CRFO SHOPPING             </t>
  </si>
  <si>
    <t xml:space="preserve">BELVEDERE           </t>
  </si>
  <si>
    <t xml:space="preserve">BIP . CRFO IPIRANGA           </t>
  </si>
  <si>
    <t xml:space="preserve">IPIRANGA            </t>
  </si>
  <si>
    <t xml:space="preserve">BMO . CRFO MORUMBI            </t>
  </si>
  <si>
    <t xml:space="preserve">MORUMBI             </t>
  </si>
  <si>
    <t xml:space="preserve">BPI . CRFO PIRITUBA           </t>
  </si>
  <si>
    <t xml:space="preserve">PIRITUBA            </t>
  </si>
  <si>
    <t xml:space="preserve">BSA . CRFO SANTO ANDRE        </t>
  </si>
  <si>
    <t xml:space="preserve">PARAISO             </t>
  </si>
  <si>
    <t xml:space="preserve">SANTO ANDRE         </t>
  </si>
  <si>
    <t xml:space="preserve">BSB.CRFO BRASILIA SUL         </t>
  </si>
  <si>
    <t xml:space="preserve">ASA SUL             </t>
  </si>
  <si>
    <t xml:space="preserve">BSM . CRFO SAO MIGUEL         </t>
  </si>
  <si>
    <t xml:space="preserve">SAO MIGUEL          </t>
  </si>
  <si>
    <t xml:space="preserve">BSN.CRFO BRASILIA NORTE       </t>
  </si>
  <si>
    <t xml:space="preserve">CENTRO              </t>
  </si>
  <si>
    <t xml:space="preserve">BSP . CRFO SANTOS             </t>
  </si>
  <si>
    <t xml:space="preserve">APARECIDA           </t>
  </si>
  <si>
    <t xml:space="preserve">SANTOS              </t>
  </si>
  <si>
    <t xml:space="preserve">BST.CRFO TAGUATINGA           </t>
  </si>
  <si>
    <t xml:space="preserve">AGUAS CLARAS        </t>
  </si>
  <si>
    <t xml:space="preserve">TAGUATINGA          </t>
  </si>
  <si>
    <t>BTA . CRFO TATUAPE CELSO GARCI</t>
  </si>
  <si>
    <t xml:space="preserve">TATUAPE             </t>
  </si>
  <si>
    <t xml:space="preserve">BTU . CRFO TUCURUVI           </t>
  </si>
  <si>
    <t xml:space="preserve">TUCURUVI            </t>
  </si>
  <si>
    <t xml:space="preserve">CAL.CRFO ALCANTARA            </t>
  </si>
  <si>
    <t xml:space="preserve">ALCANTARA           </t>
  </si>
  <si>
    <t xml:space="preserve">SAO GONCALO         </t>
  </si>
  <si>
    <t xml:space="preserve">CAP . CRFO BAIRRO CAMPINAS    </t>
  </si>
  <si>
    <t xml:space="preserve">CAMBUI              </t>
  </si>
  <si>
    <t xml:space="preserve">CBR.CRFO BELFORD ROXO         </t>
  </si>
  <si>
    <t xml:space="preserve">BELFORD ROXO        </t>
  </si>
  <si>
    <t>CCB.CARREFOUR CENTRAL CONTABIL</t>
  </si>
  <si>
    <t xml:space="preserve">GRANJA JULIETA      </t>
  </si>
  <si>
    <t xml:space="preserve">CCM . CARREFOUR CAMBUI        </t>
  </si>
  <si>
    <t xml:space="preserve">CCP . CRFO CAMPO GRANDE       </t>
  </si>
  <si>
    <t xml:space="preserve">CAMPO GRANDE        </t>
  </si>
  <si>
    <t xml:space="preserve">CDA . CD ANHANGUERA           </t>
  </si>
  <si>
    <t xml:space="preserve">CDA VILA SIMIOES    </t>
  </si>
  <si>
    <t xml:space="preserve">OSASCO              </t>
  </si>
  <si>
    <t xml:space="preserve">CDAM . CD AMAZONAS            </t>
  </si>
  <si>
    <t xml:space="preserve">TARUMA              </t>
  </si>
  <si>
    <t xml:space="preserve">MANAUS              </t>
  </si>
  <si>
    <t>AM</t>
  </si>
  <si>
    <t xml:space="preserve">CDBR - BRASILIA               </t>
  </si>
  <si>
    <t xml:space="preserve">SANTA MARIA         </t>
  </si>
  <si>
    <t xml:space="preserve">CDD . CD DUQUE DE CAXIAS      </t>
  </si>
  <si>
    <t xml:space="preserve">LOT INTER BUSI PARK </t>
  </si>
  <si>
    <t xml:space="preserve">DUQUE DE CAXIAS     </t>
  </si>
  <si>
    <t xml:space="preserve">CDDF . CD DISTRITO FEDERAL    </t>
  </si>
  <si>
    <t xml:space="preserve">CDES . CD ESPIRITO SANTO      </t>
  </si>
  <si>
    <t xml:space="preserve">CARAPINA            </t>
  </si>
  <si>
    <t xml:space="preserve">SERRA               </t>
  </si>
  <si>
    <t xml:space="preserve">CDI . CD OSASCO               </t>
  </si>
  <si>
    <t xml:space="preserve">VL YARA             </t>
  </si>
  <si>
    <t xml:space="preserve">CDMG . CD MINAS GERAIS        </t>
  </si>
  <si>
    <t xml:space="preserve">JOAO GOMES          </t>
  </si>
  <si>
    <t xml:space="preserve">CDNE . CD NORDESTE            </t>
  </si>
  <si>
    <t xml:space="preserve">DISTRITO INDUSTRIAL </t>
  </si>
  <si>
    <t xml:space="preserve">JOAO PESSOA         </t>
  </si>
  <si>
    <t xml:space="preserve">CDQ QUEIMADOS                 </t>
  </si>
  <si>
    <t xml:space="preserve">QUEIMADOS           </t>
  </si>
  <si>
    <t xml:space="preserve">CDRS . CD RIO GRANDE DO SUL   </t>
  </si>
  <si>
    <t>BAIRRO SAO SEBASTIAO</t>
  </si>
  <si>
    <t xml:space="preserve">ESTEIO              </t>
  </si>
  <si>
    <t>RS</t>
  </si>
  <si>
    <t>CDT . CENTRO DIST ANHANGUERA 2</t>
  </si>
  <si>
    <t xml:space="preserve">CDT BAIRRO SANTA FE </t>
  </si>
  <si>
    <t xml:space="preserve">CEC . CARREFOUR ECOMMERCE     </t>
  </si>
  <si>
    <t xml:space="preserve">DOS ALTOS           </t>
  </si>
  <si>
    <t xml:space="preserve">BARUERI             </t>
  </si>
  <si>
    <t xml:space="preserve">CFE . BAIRRO FERNANDOPOLIS    </t>
  </si>
  <si>
    <t xml:space="preserve">SAO FERNANDO        </t>
  </si>
  <si>
    <t xml:space="preserve">FERNANDOPOLIS       </t>
  </si>
  <si>
    <t>CGU . DROGARIA ATACADAO GUADAL</t>
  </si>
  <si>
    <t xml:space="preserve">GUADALUPE           </t>
  </si>
  <si>
    <t xml:space="preserve">CIN . BAIRRO INDAIATUBA       </t>
  </si>
  <si>
    <t xml:space="preserve">CIDADE NOVA         </t>
  </si>
  <si>
    <t xml:space="preserve">INDAIATUBA          </t>
  </si>
  <si>
    <t xml:space="preserve">CIT . CRFO BAIRRO ITU         </t>
  </si>
  <si>
    <t xml:space="preserve">JARDIM CORAZZA      </t>
  </si>
  <si>
    <t xml:space="preserve">ITU                 </t>
  </si>
  <si>
    <t xml:space="preserve">CMC.CRFO MANAUS CENTRO        </t>
  </si>
  <si>
    <t xml:space="preserve">CMM . CRFO BAIRRO MOGI MIRIM  </t>
  </si>
  <si>
    <t xml:space="preserve">NOVA MOGI           </t>
  </si>
  <si>
    <t xml:space="preserve">MOGI MIRIM          </t>
  </si>
  <si>
    <t xml:space="preserve">CMO . CRFO BAIRRO MORUMBI     </t>
  </si>
  <si>
    <t xml:space="preserve">JD LONDRINA         </t>
  </si>
  <si>
    <t xml:space="preserve">CMS.CRFO MANAUS SHOPPING      </t>
  </si>
  <si>
    <t xml:space="preserve">CHAPADA             </t>
  </si>
  <si>
    <t xml:space="preserve">CNG - NOVA IGUACU 34          </t>
  </si>
  <si>
    <t xml:space="preserve">NOVA IGUACU         </t>
  </si>
  <si>
    <t xml:space="preserve">CNS.CRFO CANOAS               </t>
  </si>
  <si>
    <t xml:space="preserve">MATHIAS VELHO 07    </t>
  </si>
  <si>
    <t xml:space="preserve">CANOAS              </t>
  </si>
  <si>
    <t xml:space="preserve">CNT . CRFO BAIRRO INTERLAGOS  </t>
  </si>
  <si>
    <t xml:space="preserve">ESTRADA RIO BRANCO  </t>
  </si>
  <si>
    <t xml:space="preserve">COL - OLARIA 28               </t>
  </si>
  <si>
    <t xml:space="preserve">OLARIA              </t>
  </si>
  <si>
    <t xml:space="preserve">CPD.CRFO CAMPINAS DUNLOP      </t>
  </si>
  <si>
    <t xml:space="preserve">JD AURELIA          </t>
  </si>
  <si>
    <t xml:space="preserve">CPR . BAIRRO PRAIA GRANDE     </t>
  </si>
  <si>
    <t xml:space="preserve">VILA GUILHERMINA    </t>
  </si>
  <si>
    <t xml:space="preserve">PRAIA GRANDE        </t>
  </si>
  <si>
    <t xml:space="preserve">CPS.CRFO CAMPINAS DOM PEDRO   </t>
  </si>
  <si>
    <t xml:space="preserve">JD NILOPOLIS        </t>
  </si>
  <si>
    <t xml:space="preserve">CPV.CRFO CAMPINAS VALINHOS    </t>
  </si>
  <si>
    <t xml:space="preserve">JARDIM VON ZUBEM    </t>
  </si>
  <si>
    <t>CRB . CRFO BAIRRO RIBEIRAO PRE</t>
  </si>
  <si>
    <t xml:space="preserve">RIBEIRAO PRETO      </t>
  </si>
  <si>
    <t xml:space="preserve">CRFO - RMG                    </t>
  </si>
  <si>
    <t xml:space="preserve">CRFO CPP PRESIDENTE PRUDENTE  </t>
  </si>
  <si>
    <t xml:space="preserve">VL SAO JORGE        </t>
  </si>
  <si>
    <t xml:space="preserve">PRESIDENTE PRUDENTE </t>
  </si>
  <si>
    <t xml:space="preserve">CRFO MPN MANAUS PONTA NEGRA   </t>
  </si>
  <si>
    <t xml:space="preserve">DOM PEDRO           </t>
  </si>
  <si>
    <t xml:space="preserve">CRFO PSJM                     </t>
  </si>
  <si>
    <t xml:space="preserve">VENDA VELHA         </t>
  </si>
  <si>
    <t xml:space="preserve">SAO JOAO DE MERITI  </t>
  </si>
  <si>
    <t xml:space="preserve">CSA . CRFO BAIRRO ALPHAVILLE  </t>
  </si>
  <si>
    <t xml:space="preserve">CENTRO DE APOIO II  </t>
  </si>
  <si>
    <t xml:space="preserve">SANTANA DE PARNAIBA </t>
  </si>
  <si>
    <t>CSB . CRFO BAIRRO SAO BERNARDO</t>
  </si>
  <si>
    <t xml:space="preserve">SAO BERNARDO CAMPO  </t>
  </si>
  <si>
    <t xml:space="preserve">CSM . CRFO BAIRRO SANTO AMARO </t>
  </si>
  <si>
    <t xml:space="preserve">BROKLIN PAULISTA    </t>
  </si>
  <si>
    <t xml:space="preserve">CSN . BAIRRO SHOPPING NORTE   </t>
  </si>
  <si>
    <t xml:space="preserve">CSP - SAES PENA 35            </t>
  </si>
  <si>
    <t xml:space="preserve">SAENS PENA          </t>
  </si>
  <si>
    <t>CSS.CRFO SAO JOSE RIO PRETO SH</t>
  </si>
  <si>
    <t xml:space="preserve">JD FERNANDES        </t>
  </si>
  <si>
    <t xml:space="preserve">SAO JOSE RIO PRETO  </t>
  </si>
  <si>
    <t xml:space="preserve">CST . CRFO BAIRRO SALTO       </t>
  </si>
  <si>
    <t xml:space="preserve">VILA NOVA           </t>
  </si>
  <si>
    <t xml:space="preserve">SALTO               </t>
  </si>
  <si>
    <t xml:space="preserve">CTB . CRFO BAIRRO TAUBATE 2   </t>
  </si>
  <si>
    <t xml:space="preserve">TAUBATE             </t>
  </si>
  <si>
    <t xml:space="preserve">CVA . CRFO BAIRRO CACAPAVA    </t>
  </si>
  <si>
    <t xml:space="preserve">CACAPAVA            </t>
  </si>
  <si>
    <t xml:space="preserve">CVN . CRFO BAIRRO VINHEDO     </t>
  </si>
  <si>
    <t xml:space="preserve">VINHEDO             </t>
  </si>
  <si>
    <t xml:space="preserve">CWB.CRFO PINHAIS              </t>
  </si>
  <si>
    <t xml:space="preserve">VILA AMELIA         </t>
  </si>
  <si>
    <t xml:space="preserve">PINHAIS             </t>
  </si>
  <si>
    <t>PR</t>
  </si>
  <si>
    <t xml:space="preserve">CWC.CRFO CHAMPAGNAT           </t>
  </si>
  <si>
    <t xml:space="preserve">MOSSUNGUE           </t>
  </si>
  <si>
    <t xml:space="preserve">CURITIBA            </t>
  </si>
  <si>
    <t xml:space="preserve">CWP.CRFO PAROLIM              </t>
  </si>
  <si>
    <t xml:space="preserve">PRADO VELHO         </t>
  </si>
  <si>
    <t xml:space="preserve">CXS.CRFO CAXIAS               </t>
  </si>
  <si>
    <t xml:space="preserve">CAXIAS              </t>
  </si>
  <si>
    <t xml:space="preserve">DDC.CRFO DUQUE DE CAXIAS      </t>
  </si>
  <si>
    <t>DDF . DROGARIA RECIFE DOMINGOS</t>
  </si>
  <si>
    <t xml:space="preserve">BOA VIAGEM          </t>
  </si>
  <si>
    <t xml:space="preserve">RECIFE              </t>
  </si>
  <si>
    <t>PE</t>
  </si>
  <si>
    <t xml:space="preserve">DIA BRASIL SOCIEDADE LIMITADA </t>
  </si>
  <si>
    <t xml:space="preserve">JD BELVAL           </t>
  </si>
  <si>
    <t xml:space="preserve">DMA.CRFO DIADEMA              </t>
  </si>
  <si>
    <t xml:space="preserve">REMANSO             </t>
  </si>
  <si>
    <t xml:space="preserve">DIADEMA             </t>
  </si>
  <si>
    <t xml:space="preserve">DRT . DROGARIA RECIFE TORRE   </t>
  </si>
  <si>
    <t xml:space="preserve">ANEXO I TORRE       </t>
  </si>
  <si>
    <t xml:space="preserve">DVA - VISTA ALEGRE 41         </t>
  </si>
  <si>
    <t xml:space="preserve">VISTA ALEGRE        </t>
  </si>
  <si>
    <t xml:space="preserve">EAC . ELETRO ATACADAO COTIA   </t>
  </si>
  <si>
    <t xml:space="preserve">JARDIM DINORAH      </t>
  </si>
  <si>
    <t xml:space="preserve">COTIA               </t>
  </si>
  <si>
    <t xml:space="preserve">ECG.CRFO CAMPO GRANDE         </t>
  </si>
  <si>
    <t xml:space="preserve">SANTA FE            </t>
  </si>
  <si>
    <t>MS</t>
  </si>
  <si>
    <t xml:space="preserve">ECN.CRFO CENTER NORTE         </t>
  </si>
  <si>
    <t xml:space="preserve">VL GUILHERME        </t>
  </si>
  <si>
    <t xml:space="preserve">ECP.CRFO CAMPINAS             </t>
  </si>
  <si>
    <t xml:space="preserve">VILA BRANDINA       </t>
  </si>
  <si>
    <t xml:space="preserve">EPL.CRFO PAMPLONA             </t>
  </si>
  <si>
    <t xml:space="preserve">JD PAULISTA         </t>
  </si>
  <si>
    <t xml:space="preserve">EPP.CRFO PRUDENTE             </t>
  </si>
  <si>
    <t xml:space="preserve">JD.DAS ROSAS        </t>
  </si>
  <si>
    <t xml:space="preserve">ERE.CRFO REBOUCAS             </t>
  </si>
  <si>
    <t xml:space="preserve">PINHEIROS           </t>
  </si>
  <si>
    <t xml:space="preserve">EST.CRFO SANTOS               </t>
  </si>
  <si>
    <t xml:space="preserve">BOQUEIRAO           </t>
  </si>
  <si>
    <t xml:space="preserve">ESV.CRFO VILA VELHA           </t>
  </si>
  <si>
    <t xml:space="preserve">COBILANDIA          </t>
  </si>
  <si>
    <t>EVC . ATAC ELETRO VITORIA CONQ</t>
  </si>
  <si>
    <t xml:space="preserve">BRASIL              </t>
  </si>
  <si>
    <t>VITORIA DA CONQUISTA</t>
  </si>
  <si>
    <t>FAG . DROGARIA ATACADAO GUARUL</t>
  </si>
  <si>
    <t xml:space="preserve">JARDIM SAO GERALDO  </t>
  </si>
  <si>
    <t xml:space="preserve">FAM . DROGARIA ATACADAO SANTO </t>
  </si>
  <si>
    <t>JARDIM NOVO SANTO AM</t>
  </si>
  <si>
    <t xml:space="preserve">FAN . DROGARIA ATACADAO NATAL </t>
  </si>
  <si>
    <t xml:space="preserve">CANDELARIA          </t>
  </si>
  <si>
    <t xml:space="preserve">NATAL               </t>
  </si>
  <si>
    <t>FAZ . DROGARIA ATACADAO SUZANO</t>
  </si>
  <si>
    <t xml:space="preserve">VILA MALUF          </t>
  </si>
  <si>
    <t xml:space="preserve">SUZANO              </t>
  </si>
  <si>
    <t>FCA . DROGARIA ATACADAO CARAPI</t>
  </si>
  <si>
    <t xml:space="preserve">VILA MARIA          </t>
  </si>
  <si>
    <t>FCP . DROGARIA ATACADAO CAMPIN</t>
  </si>
  <si>
    <t>JARDIM SANTA GENEBRA</t>
  </si>
  <si>
    <t>FDM . DROGARIA RECIFE BOA VIAG</t>
  </si>
  <si>
    <t xml:space="preserve">IMBIRIBEIRA         </t>
  </si>
  <si>
    <t>FGU . DROGARIA ATACADAO GUARUJ</t>
  </si>
  <si>
    <t xml:space="preserve">SANTA CLARA         </t>
  </si>
  <si>
    <t>FIT . DROGARIA ATACADAO ITAQUE</t>
  </si>
  <si>
    <t>FJG . ATACADAO JABOATAO GUARAR</t>
  </si>
  <si>
    <t xml:space="preserve">PRAZERES            </t>
  </si>
  <si>
    <t>JABOATAO DOS GUARARA</t>
  </si>
  <si>
    <t>FLA . DROGARIA ATACADAO LIMEIR</t>
  </si>
  <si>
    <t xml:space="preserve">BAIRRO DOS LIMEIRAS </t>
  </si>
  <si>
    <t xml:space="preserve">LIMEIRA             </t>
  </si>
  <si>
    <t xml:space="preserve">FOB . CRFO FORTALEZA II       </t>
  </si>
  <si>
    <t xml:space="preserve">JOAQUIM TAVORA      </t>
  </si>
  <si>
    <t xml:space="preserve">FORTALEZA           </t>
  </si>
  <si>
    <t xml:space="preserve">FOR . CRFO FORTALEZA          </t>
  </si>
  <si>
    <t xml:space="preserve">PARANGABA           </t>
  </si>
  <si>
    <t xml:space="preserve">FRA . CRFO FRANCA             </t>
  </si>
  <si>
    <t xml:space="preserve">CHACARA SANTA MARIA </t>
  </si>
  <si>
    <t xml:space="preserve">FRANCA              </t>
  </si>
  <si>
    <t xml:space="preserve">FSA . DROGARIA ATACADAO SANTO </t>
  </si>
  <si>
    <t>FSM . DROGARIA ATACADAO SAO MI</t>
  </si>
  <si>
    <t xml:space="preserve">SAO MIGUEL PAULISTA </t>
  </si>
  <si>
    <t>FSR . DROGARIA S JOSE DO RIO P</t>
  </si>
  <si>
    <t xml:space="preserve">VILA SANTA CRUZ     </t>
  </si>
  <si>
    <t xml:space="preserve">S JOSE DO RIO PRETO </t>
  </si>
  <si>
    <t>FTP . DROGARIA ATACADAO TAIPAS</t>
  </si>
  <si>
    <t xml:space="preserve">TAIPAS              </t>
  </si>
  <si>
    <t>FVM . DROGARIA ATACADAO VILA M</t>
  </si>
  <si>
    <t xml:space="preserve">GJA . GIMENES JABOTICABAL I   </t>
  </si>
  <si>
    <t xml:space="preserve">JABOTICABAL         </t>
  </si>
  <si>
    <t xml:space="preserve">GJB . GIMENES JABOTICABAL II  </t>
  </si>
  <si>
    <t xml:space="preserve">GMA . GIMENES MONTE ALTO      </t>
  </si>
  <si>
    <t xml:space="preserve">MONTE ALTO          </t>
  </si>
  <si>
    <t xml:space="preserve">GMT .  GIMENES MATAO          </t>
  </si>
  <si>
    <t xml:space="preserve">MATAO               </t>
  </si>
  <si>
    <t>GOA . CRFO APARECIDA DE GOIANI</t>
  </si>
  <si>
    <t xml:space="preserve">VERA CRUZ           </t>
  </si>
  <si>
    <t xml:space="preserve">GOIANIA             </t>
  </si>
  <si>
    <t>GO</t>
  </si>
  <si>
    <t xml:space="preserve">GON.CRFO GOIANIA NORTE        </t>
  </si>
  <si>
    <t xml:space="preserve">SET URIAS GUIMARAES </t>
  </si>
  <si>
    <t xml:space="preserve">GOP . CRFO ANAPOLIS           </t>
  </si>
  <si>
    <t xml:space="preserve">CIDADE JARDIM       </t>
  </si>
  <si>
    <t xml:space="preserve">ANAPOLIS            </t>
  </si>
  <si>
    <t xml:space="preserve">GOS.CRFO GOIANIA SUL          </t>
  </si>
  <si>
    <t xml:space="preserve">JD GOIAS            </t>
  </si>
  <si>
    <t>GRC . GIMENES RIBEIRAO CARAMUR</t>
  </si>
  <si>
    <t xml:space="preserve">VILA VIRGINIA       </t>
  </si>
  <si>
    <t>GRE . GIMENES RIB CAMPOS  ELIS</t>
  </si>
  <si>
    <t xml:space="preserve">CAMPOS ELISEOS      </t>
  </si>
  <si>
    <t xml:space="preserve">GRI . GIMENES IPIRANGA        </t>
  </si>
  <si>
    <t xml:space="preserve">GRS . GIMENES RIB SANTA CRUZ  </t>
  </si>
  <si>
    <t>SANTA CRUZ JOSE JACQ</t>
  </si>
  <si>
    <t xml:space="preserve">GRU.CRFO GUARULHOS            </t>
  </si>
  <si>
    <t xml:space="preserve">VL.RIO DE JANEIRO   </t>
  </si>
  <si>
    <t xml:space="preserve">GRV . CRFO GRAVATAI           </t>
  </si>
  <si>
    <t xml:space="preserve">COHAB C             </t>
  </si>
  <si>
    <t xml:space="preserve">GRAVATAI            </t>
  </si>
  <si>
    <t xml:space="preserve">GSC . GIMENES VILA  COSTA     </t>
  </si>
  <si>
    <t xml:space="preserve">VILA COSTA DO SOL   </t>
  </si>
  <si>
    <t xml:space="preserve">SAO CARLOS          </t>
  </si>
  <si>
    <t xml:space="preserve">GSD.CRFO GOIANIA SUDOESTE     </t>
  </si>
  <si>
    <t xml:space="preserve">VILA BELA           </t>
  </si>
  <si>
    <t xml:space="preserve">GSF . GIMENES SAO CARLOS      </t>
  </si>
  <si>
    <t xml:space="preserve">SANTA FELICIA       </t>
  </si>
  <si>
    <t xml:space="preserve">GUA.CRFO GUARUJA              </t>
  </si>
  <si>
    <t xml:space="preserve">JD.BELMAR           </t>
  </si>
  <si>
    <t xml:space="preserve">JDI.CRFO JUNDIAI              </t>
  </si>
  <si>
    <t xml:space="preserve">MOISES              </t>
  </si>
  <si>
    <t xml:space="preserve">JUNDIAI             </t>
  </si>
  <si>
    <t xml:space="preserve">JFO.CRFO JUIZ DE FORA         </t>
  </si>
  <si>
    <t xml:space="preserve">GRAMINHA            </t>
  </si>
  <si>
    <t xml:space="preserve">JUIZ DE FORA        </t>
  </si>
  <si>
    <t xml:space="preserve">JPE . CRFO JOAO PESSOA        </t>
  </si>
  <si>
    <t xml:space="preserve">AEROCLUBE           </t>
  </si>
  <si>
    <t xml:space="preserve">LDB.CRFO LONDRINA             </t>
  </si>
  <si>
    <t xml:space="preserve">CATUAI              </t>
  </si>
  <si>
    <t xml:space="preserve">LONDRINA            </t>
  </si>
  <si>
    <t xml:space="preserve">MAC . CRFO MANAUS COROADO     </t>
  </si>
  <si>
    <t xml:space="preserve">ALEIXO              </t>
  </si>
  <si>
    <t>MAD . CRFO MANAUS ADRIANOPOLIS</t>
  </si>
  <si>
    <t xml:space="preserve">ADRIANOPOLIS        </t>
  </si>
  <si>
    <t>MAK . CRFO BAIRRO SION II ALAS</t>
  </si>
  <si>
    <t xml:space="preserve">SION                </t>
  </si>
  <si>
    <t xml:space="preserve">MAN . CRFO BAIRRO ANCHIETA    </t>
  </si>
  <si>
    <t xml:space="preserve">ANCHIETA            </t>
  </si>
  <si>
    <t>MBZ . CRFO BAIRRO CIDADE JARDI</t>
  </si>
  <si>
    <t xml:space="preserve">MCE . CRFO BAIRRO CEARA       </t>
  </si>
  <si>
    <t xml:space="preserve">FUNCIONARIOS        </t>
  </si>
  <si>
    <t xml:space="preserve">MCN . CRFO MANAUS CIDADE NOVA </t>
  </si>
  <si>
    <t xml:space="preserve">MEL . GIMENES ELYSEE          </t>
  </si>
  <si>
    <t xml:space="preserve">VILA TRAMONTANO     </t>
  </si>
  <si>
    <t>MEU . BAIRRO CORACAO EUCARISTI</t>
  </si>
  <si>
    <t xml:space="preserve">CORACAO EUCARISTICO </t>
  </si>
  <si>
    <t xml:space="preserve">MFL . CRFO BAIRRO FLORESTA    </t>
  </si>
  <si>
    <t xml:space="preserve">FLORESTA            </t>
  </si>
  <si>
    <t>MFU . CRFO BAIRRO FUNCIONARIOS</t>
  </si>
  <si>
    <t xml:space="preserve">MGJ . CRFO BAIRRO GUAJAJARAS  </t>
  </si>
  <si>
    <t xml:space="preserve">MGU . CRFO BAIRRO GUTIERREZ   </t>
  </si>
  <si>
    <t xml:space="preserve">GUTIERREZ           </t>
  </si>
  <si>
    <t>MHM . BAIRRO BARAO HOMEM DE ME</t>
  </si>
  <si>
    <t xml:space="preserve">NOVA SUICA          </t>
  </si>
  <si>
    <t xml:space="preserve">MHP.REGIONAL SP INT II        </t>
  </si>
  <si>
    <t xml:space="preserve">BEBEDOURO           </t>
  </si>
  <si>
    <t xml:space="preserve">MLS . CRFO BAIRRO LAGOA SANTA </t>
  </si>
  <si>
    <t xml:space="preserve">BELA VISTA          </t>
  </si>
  <si>
    <t xml:space="preserve">LAGOA SANTA         </t>
  </si>
  <si>
    <t xml:space="preserve">MMZ . SEDE BAIRRO MG          </t>
  </si>
  <si>
    <t xml:space="preserve">MNS.CRFO MANAUS MANPAR        </t>
  </si>
  <si>
    <t xml:space="preserve">FLORES              </t>
  </si>
  <si>
    <t>MPA . BAIRRO ALAMEDA DAS PRINC</t>
  </si>
  <si>
    <t xml:space="preserve">SAO LUIZ            </t>
  </si>
  <si>
    <t>MPR . CRFO BAIRRO  PEDRO II LO</t>
  </si>
  <si>
    <t xml:space="preserve">CARLOS PRATES       </t>
  </si>
  <si>
    <t xml:space="preserve">MPT . PLATAFORMA MINAS GERAIS </t>
  </si>
  <si>
    <t>MRG . CRFO BAIRRO GRANDE DO SU</t>
  </si>
  <si>
    <t xml:space="preserve">SANTO AGOSTINHO     </t>
  </si>
  <si>
    <t>MSC . CRFO BAIRRO SHOPPING CID</t>
  </si>
  <si>
    <t xml:space="preserve">MSI . CRFO BAIRRO SION        </t>
  </si>
  <si>
    <t xml:space="preserve">MSP . REGIONAL SP SUP II      </t>
  </si>
  <si>
    <t xml:space="preserve">NHG.CRFO NOVO HAMBURGO        </t>
  </si>
  <si>
    <t xml:space="preserve">IDEAL               </t>
  </si>
  <si>
    <t xml:space="preserve">NOVO HAMBURGO       </t>
  </si>
  <si>
    <t xml:space="preserve">NIG.CRFO NOVA IGUACU          </t>
  </si>
  <si>
    <t xml:space="preserve">NOVA CALIFORNIA     </t>
  </si>
  <si>
    <t xml:space="preserve">NTL.CRFO NATAL                </t>
  </si>
  <si>
    <t xml:space="preserve">LAGOA NOVA          </t>
  </si>
  <si>
    <t xml:space="preserve">NZN . CRFO NATAL ZONA NORTE   </t>
  </si>
  <si>
    <t xml:space="preserve">POTENGI             </t>
  </si>
  <si>
    <t xml:space="preserve">OSC.CRFO OSASCO               </t>
  </si>
  <si>
    <t xml:space="preserve">VILA YARA           </t>
  </si>
  <si>
    <t xml:space="preserve">PAC . POSTO AUTOMOVEL CLUBE   </t>
  </si>
  <si>
    <t xml:space="preserve">VICENTE CARVALHO    </t>
  </si>
  <si>
    <t xml:space="preserve">PAN . POSTO ANCHIETA          </t>
  </si>
  <si>
    <t xml:space="preserve">PAP . POSTO ANAPOLIS          </t>
  </si>
  <si>
    <t xml:space="preserve">PAR . POSTO ARICANDUVA        </t>
  </si>
  <si>
    <t xml:space="preserve">JD ARICANDUVA       </t>
  </si>
  <si>
    <t xml:space="preserve">PAZ . POSTO Z22 ALCANTARA     </t>
  </si>
  <si>
    <t xml:space="preserve">BRAS                </t>
  </si>
  <si>
    <t xml:space="preserve">PBA . POSTO BARRA             </t>
  </si>
  <si>
    <t xml:space="preserve">BARRA DA TIJUCA     </t>
  </si>
  <si>
    <t>PBD . POSTO SAO BERNARDO DEMAR</t>
  </si>
  <si>
    <t xml:space="preserve">DEMARCHI            </t>
  </si>
  <si>
    <t xml:space="preserve">PBM . BAIRRO BOM MOTIVO       </t>
  </si>
  <si>
    <t xml:space="preserve">LAGO SUL            </t>
  </si>
  <si>
    <t>PBP . POSTO SAO BERNARDO PAULI</t>
  </si>
  <si>
    <t xml:space="preserve">TABOAO              </t>
  </si>
  <si>
    <t xml:space="preserve">PBR . POSTO BELFORD ROXO      </t>
  </si>
  <si>
    <t xml:space="preserve">PCA . POSTO CAMBUCI           </t>
  </si>
  <si>
    <t xml:space="preserve">CAMBUCI             </t>
  </si>
  <si>
    <t xml:space="preserve">PCB . POSTO BUTANTA           </t>
  </si>
  <si>
    <t xml:space="preserve">BUTANTA             </t>
  </si>
  <si>
    <t xml:space="preserve">PCG . POSTO CAMPO GRANDE      </t>
  </si>
  <si>
    <t xml:space="preserve">PCH . AUTO POSTO PIMPOLHO     </t>
  </si>
  <si>
    <t xml:space="preserve">CAMPINA DO SIQUEIRA </t>
  </si>
  <si>
    <t>PCP . POSTO CAMPINAS DOM PEDRO</t>
  </si>
  <si>
    <t xml:space="preserve">FAZENDA SANTANA     </t>
  </si>
  <si>
    <t xml:space="preserve">PCR . POSTO RECIFE            </t>
  </si>
  <si>
    <t xml:space="preserve">TORRE               </t>
  </si>
  <si>
    <t>PCS . POSTO SAO BERNARDO DO CA</t>
  </si>
  <si>
    <t xml:space="preserve">VILA VIVALDI        </t>
  </si>
  <si>
    <t xml:space="preserve">S BERNARDO DO CAMPO </t>
  </si>
  <si>
    <t xml:space="preserve">PCT . POSTO TABOAO DA SERRA   </t>
  </si>
  <si>
    <t xml:space="preserve">CIDADE INTERCAP     </t>
  </si>
  <si>
    <t xml:space="preserve">TABOAO DA SERRA     </t>
  </si>
  <si>
    <t xml:space="preserve">PCV . POSTO CACAPAVA          </t>
  </si>
  <si>
    <t xml:space="preserve">PCW . POSTO PINHAIS           </t>
  </si>
  <si>
    <t xml:space="preserve">PDI . POSTO DIADEMA           </t>
  </si>
  <si>
    <t xml:space="preserve">JD PITANGUEIRAS     </t>
  </si>
  <si>
    <t xml:space="preserve">PDP . POSTO CAMPINAS VALINHOS </t>
  </si>
  <si>
    <t xml:space="preserve">JD ANTON VON ZUBEM  </t>
  </si>
  <si>
    <t xml:space="preserve">PDQ . POSTO DUQUE DE CAXIAS   </t>
  </si>
  <si>
    <t xml:space="preserve">14 DE JULHO         </t>
  </si>
  <si>
    <t xml:space="preserve">PEC . POSTO MARTIN AFONSO     </t>
  </si>
  <si>
    <t xml:space="preserve">MERCES              </t>
  </si>
  <si>
    <t xml:space="preserve">PEF . POSTO 5 ESTRELAS        </t>
  </si>
  <si>
    <t xml:space="preserve">NAVEGANTES          </t>
  </si>
  <si>
    <t xml:space="preserve">PORTO ALEGRE        </t>
  </si>
  <si>
    <t xml:space="preserve">PEG . POSTO GETULIO           </t>
  </si>
  <si>
    <t xml:space="preserve">MENINO DE DEUS      </t>
  </si>
  <si>
    <t xml:space="preserve">PEM . POSTO PORTAL DO MORUMBI </t>
  </si>
  <si>
    <t xml:space="preserve">VILA SUZANA         </t>
  </si>
  <si>
    <t xml:space="preserve">PEV . POSTO VILA PRUDENTE     </t>
  </si>
  <si>
    <t xml:space="preserve">VILA GRACIOSA       </t>
  </si>
  <si>
    <t xml:space="preserve">PEW . POSTO WENCESLAU         </t>
  </si>
  <si>
    <t xml:space="preserve">CRISTAL             </t>
  </si>
  <si>
    <t xml:space="preserve">PFR . POSTO FRANCA            </t>
  </si>
  <si>
    <t xml:space="preserve">PGA . POSTO APARECIDA GOIANIA </t>
  </si>
  <si>
    <t xml:space="preserve">CIDADE VERA CRUZ    </t>
  </si>
  <si>
    <t>APARECIDA DE GOIANIA</t>
  </si>
  <si>
    <t xml:space="preserve">PGD . POSTO GOIANIA SUDOESTE  </t>
  </si>
  <si>
    <t xml:space="preserve">PGN . POSTO GOIANIA NORTE     </t>
  </si>
  <si>
    <t xml:space="preserve">URIAS MAGALHAES     </t>
  </si>
  <si>
    <t>PGP . POSTO ATACADAO GUADALUPE</t>
  </si>
  <si>
    <t xml:space="preserve">PGR . POSTO GUARULHOS         </t>
  </si>
  <si>
    <t xml:space="preserve">PORTAL DOS GRAMADOS </t>
  </si>
  <si>
    <t xml:space="preserve">PGS . POSTO GOIANIA SUL       </t>
  </si>
  <si>
    <t xml:space="preserve">JARDIM GOIAS        </t>
  </si>
  <si>
    <t xml:space="preserve">PGT . POSTO GRAVATAI          </t>
  </si>
  <si>
    <t xml:space="preserve">PGU . POSTO GUARUJA           </t>
  </si>
  <si>
    <t xml:space="preserve">JD BELMAR           </t>
  </si>
  <si>
    <t xml:space="preserve">PIR.CRFO NOVA PIRACICABA      </t>
  </si>
  <si>
    <t xml:space="preserve">GL CALIFORNIA       </t>
  </si>
  <si>
    <t xml:space="preserve">PIRACICABA          </t>
  </si>
  <si>
    <t xml:space="preserve">PIS . POSTO SERTORIO          </t>
  </si>
  <si>
    <t xml:space="preserve">JD LINDOIA          </t>
  </si>
  <si>
    <t xml:space="preserve">PIT . POSTO ITU               </t>
  </si>
  <si>
    <t xml:space="preserve">LIBERDADE           </t>
  </si>
  <si>
    <t xml:space="preserve">PJB . POSTO JABAQUARA         </t>
  </si>
  <si>
    <t xml:space="preserve">JABAQUARA           </t>
  </si>
  <si>
    <t>PJC . POSTO SAO JOSE DOS CAMPO</t>
  </si>
  <si>
    <t xml:space="preserve">PQ RESIDENCIAL A    </t>
  </si>
  <si>
    <t xml:space="preserve">SAO JOSE DOS CAMPOS </t>
  </si>
  <si>
    <t xml:space="preserve">PJD . POSTO JUNDIAI           </t>
  </si>
  <si>
    <t xml:space="preserve">JD SERVILHA         </t>
  </si>
  <si>
    <t xml:space="preserve">PJG . POSTO JAGUARE           </t>
  </si>
  <si>
    <t xml:space="preserve">RIO PEQUENO         </t>
  </si>
  <si>
    <t xml:space="preserve">PJP . POSTO JOAO PESSOA       </t>
  </si>
  <si>
    <t xml:space="preserve">JD AMERICA          </t>
  </si>
  <si>
    <t xml:space="preserve">CABEDELO            </t>
  </si>
  <si>
    <t>PL2 . CRFO BAIRRO BRASILIA LAG</t>
  </si>
  <si>
    <t xml:space="preserve">N.C                 </t>
  </si>
  <si>
    <t xml:space="preserve">PLD . POSTO LONDRINA          </t>
  </si>
  <si>
    <t xml:space="preserve">PMA . POSTO MANILHA           </t>
  </si>
  <si>
    <t xml:space="preserve">PARTE NEVES         </t>
  </si>
  <si>
    <t xml:space="preserve">PMM . POSTO M.M               </t>
  </si>
  <si>
    <t xml:space="preserve">PETROPOLIS          </t>
  </si>
  <si>
    <t>PMS.REGIONAL MATO GROSSO DO SU</t>
  </si>
  <si>
    <t xml:space="preserve">PN2 . CRFO BAIRRO ASA NORTE   </t>
  </si>
  <si>
    <t xml:space="preserve">ASA NORTE 3         </t>
  </si>
  <si>
    <t xml:space="preserve">PN4 . CRFO BAIRRO ASA NORTE   </t>
  </si>
  <si>
    <t xml:space="preserve">ASA NORTE 2         </t>
  </si>
  <si>
    <t xml:space="preserve">PNI . POSTO NOVA IGUACU       </t>
  </si>
  <si>
    <t xml:space="preserve">MARIA DA LUZ        </t>
  </si>
  <si>
    <t>PNM . POSTO DE SERVICOS NAOMIS</t>
  </si>
  <si>
    <t xml:space="preserve">VILA JACUI          </t>
  </si>
  <si>
    <t xml:space="preserve">PNN . POSTO NATAL ZONA NORTE  </t>
  </si>
  <si>
    <t xml:space="preserve">PNT . POSTO NITEROI           </t>
  </si>
  <si>
    <t xml:space="preserve">NITEROI             </t>
  </si>
  <si>
    <t xml:space="preserve">POA.CRFO PORTO ALEGRE         </t>
  </si>
  <si>
    <t xml:space="preserve">PARTENON            </t>
  </si>
  <si>
    <t xml:space="preserve">POS . POSTO OSASCO            </t>
  </si>
  <si>
    <t xml:space="preserve">POZ . Z21 SANTO AMARO         </t>
  </si>
  <si>
    <t xml:space="preserve">SANTO AMARO         </t>
  </si>
  <si>
    <t xml:space="preserve">PPA.CRFO PASSO D AREIA        </t>
  </si>
  <si>
    <t xml:space="preserve">PASSO DAREIA        </t>
  </si>
  <si>
    <t xml:space="preserve">PPC . POSTO PIRACICABA        </t>
  </si>
  <si>
    <t>TERRAS DE PIRACICABA</t>
  </si>
  <si>
    <t xml:space="preserve">PPE . POSTO PESSEGO           </t>
  </si>
  <si>
    <t xml:space="preserve">JOSE BONIFACIO      </t>
  </si>
  <si>
    <t xml:space="preserve">PPI . POSTO PINHEIROS         </t>
  </si>
  <si>
    <t xml:space="preserve">VILA GERTRUDES      </t>
  </si>
  <si>
    <t xml:space="preserve">PPP . POSTO PAMPULHA          </t>
  </si>
  <si>
    <t xml:space="preserve">PEDRO II            </t>
  </si>
  <si>
    <t>PRP . POSTO RIBEIRAO PRETO NOR</t>
  </si>
  <si>
    <t xml:space="preserve">PRT . POSTO RAPOSO TAVARES    </t>
  </si>
  <si>
    <t xml:space="preserve">JD CAMBARA          </t>
  </si>
  <si>
    <t xml:space="preserve">PS1 . CRFO BAIRRO ASA SUL     </t>
  </si>
  <si>
    <t xml:space="preserve">PS2 . CRFO BAIRRO ASA SUL     </t>
  </si>
  <si>
    <t xml:space="preserve">ASA SUL 2           </t>
  </si>
  <si>
    <t xml:space="preserve">BRASILA             </t>
  </si>
  <si>
    <t xml:space="preserve">PSA . POSTO SANTO ANDRE       </t>
  </si>
  <si>
    <t xml:space="preserve">VILA GUARANY        </t>
  </si>
  <si>
    <t>PSC . POSTO SAO CAETANO DO SUL</t>
  </si>
  <si>
    <t xml:space="preserve">FUNDACAO            </t>
  </si>
  <si>
    <t xml:space="preserve">SAO CAETANO DO SUL  </t>
  </si>
  <si>
    <t xml:space="preserve">PSE . CARREFOUR SERTORIO      </t>
  </si>
  <si>
    <t xml:space="preserve">SARANDI             </t>
  </si>
  <si>
    <t xml:space="preserve">PSJ . POSTO SJC II            </t>
  </si>
  <si>
    <t xml:space="preserve">VILA INDUSTRIAL     </t>
  </si>
  <si>
    <t xml:space="preserve">PSM . POSTO SAO MIGUEL        </t>
  </si>
  <si>
    <t xml:space="preserve">PSN . POSTO SOROCABA NORTE    </t>
  </si>
  <si>
    <t xml:space="preserve">VILA CARVALHO       </t>
  </si>
  <si>
    <t xml:space="preserve">SOROCABA            </t>
  </si>
  <si>
    <t>PSO . POSTO SANTO ANDRE ORATOR</t>
  </si>
  <si>
    <t xml:space="preserve">PQ DAS NACOES       </t>
  </si>
  <si>
    <t>PSP . POSTO SAO JOSE DO RIO PR</t>
  </si>
  <si>
    <t xml:space="preserve">CRISTO REI          </t>
  </si>
  <si>
    <t>SAO JOSE DO RIO PRET</t>
  </si>
  <si>
    <t>PSS . POSTO DE SOROCABA SHOPPI</t>
  </si>
  <si>
    <t xml:space="preserve">PQ BELA VISTA       </t>
  </si>
  <si>
    <t xml:space="preserve">VOTORANTIM          </t>
  </si>
  <si>
    <t xml:space="preserve">PST . POSTO SALTO             </t>
  </si>
  <si>
    <t xml:space="preserve">PSU . POSTO SULACAP           </t>
  </si>
  <si>
    <t xml:space="preserve">JARDIM SULACAP      </t>
  </si>
  <si>
    <t xml:space="preserve">PSV . POSTO SAO VICENTE       </t>
  </si>
  <si>
    <t>JARDIM INDEPENDENCIA</t>
  </si>
  <si>
    <t xml:space="preserve">SAO VICENTE         </t>
  </si>
  <si>
    <t xml:space="preserve">PTA . POSTO TAMBORE           </t>
  </si>
  <si>
    <t xml:space="preserve">TAMBORE             </t>
  </si>
  <si>
    <t xml:space="preserve">PTAM  PLATAFORMA MANAUS       </t>
  </si>
  <si>
    <t>PTDC . PLATAFORMA DUQUE DE CAX</t>
  </si>
  <si>
    <t xml:space="preserve">PTF DC - DUQUE DE CAXIAS      </t>
  </si>
  <si>
    <t xml:space="preserve">PTF DF - DISTRITO FEDERAL     </t>
  </si>
  <si>
    <t xml:space="preserve">TAGUATINGA SUL      </t>
  </si>
  <si>
    <t xml:space="preserve">PTF REFRIO                    </t>
  </si>
  <si>
    <t xml:space="preserve">POTUVERA            </t>
  </si>
  <si>
    <t>ITAPECERICA DA SERRA</t>
  </si>
  <si>
    <t>PTI . POSTO COMBUSTIVEIS TIETE</t>
  </si>
  <si>
    <t xml:space="preserve">VILA GUILHERME      </t>
  </si>
  <si>
    <t xml:space="preserve">PTL . PLATAFORMA PERECIVEL    </t>
  </si>
  <si>
    <t xml:space="preserve">PTNE . PLATAFORMA NORDESTE    </t>
  </si>
  <si>
    <t xml:space="preserve">MURIBECA            </t>
  </si>
  <si>
    <t>PTP . POSTO COMBUS CRFO TATUAP</t>
  </si>
  <si>
    <t xml:space="preserve">PTRS . PLATAFORMA RS          </t>
  </si>
  <si>
    <t xml:space="preserve">VILA TRES PORTOS    </t>
  </si>
  <si>
    <t xml:space="preserve">PTSP . PLATAFORMA SAO PAULO   </t>
  </si>
  <si>
    <t xml:space="preserve">PTSP - INGAHI       </t>
  </si>
  <si>
    <t xml:space="preserve">ITAPEVI             </t>
  </si>
  <si>
    <t xml:space="preserve">PTT . POSTO TAUBATE           </t>
  </si>
  <si>
    <t xml:space="preserve">PQ SENHOR DO BONFIM </t>
  </si>
  <si>
    <t xml:space="preserve">PUB . POSTO UBERABA           </t>
  </si>
  <si>
    <t xml:space="preserve">UBERABA             </t>
  </si>
  <si>
    <t xml:space="preserve">PUC . POSTO PUC               </t>
  </si>
  <si>
    <t xml:space="preserve">JARDIM BOTANICO     </t>
  </si>
  <si>
    <t>PVA . POSTO ATACADAO VALPARAIS</t>
  </si>
  <si>
    <t xml:space="preserve">LOTEAMENTO PACAEMBU </t>
  </si>
  <si>
    <t xml:space="preserve">VALPARAISO DE GOIAS </t>
  </si>
  <si>
    <t xml:space="preserve">PZA . Z22 ALCANTARA           </t>
  </si>
  <si>
    <t xml:space="preserve">PZB . Z 10 BANDEIRANTES       </t>
  </si>
  <si>
    <t xml:space="preserve">PLANALTO PAULISTA   </t>
  </si>
  <si>
    <t xml:space="preserve">PZD . Z12 DIREITOS HUMANOS    </t>
  </si>
  <si>
    <t xml:space="preserve">PZE . Z19 INDUSTRIAL          </t>
  </si>
  <si>
    <t xml:space="preserve">VILA ALPINA         </t>
  </si>
  <si>
    <t xml:space="preserve">PZG . Z17 GRITO               </t>
  </si>
  <si>
    <t xml:space="preserve">PZI . Z23 INTERLAGOS          </t>
  </si>
  <si>
    <t xml:space="preserve">INTERLAGOS          </t>
  </si>
  <si>
    <t xml:space="preserve">PZL . Z14 LUIS STAMATIS       </t>
  </si>
  <si>
    <t xml:space="preserve">JACANA              </t>
  </si>
  <si>
    <t xml:space="preserve">PZM . Z16 MARGINAL PINHEIROS  </t>
  </si>
  <si>
    <t xml:space="preserve">J HELIOMAR          </t>
  </si>
  <si>
    <t xml:space="preserve">PZO . Z21 SANTO AMARO         </t>
  </si>
  <si>
    <t xml:space="preserve">PZP . Z15 PEREIRA BARRETO     </t>
  </si>
  <si>
    <t xml:space="preserve">BAETA NEVES         </t>
  </si>
  <si>
    <t>PZR . Z11 POSTO ROBERT KENNEDY</t>
  </si>
  <si>
    <t xml:space="preserve">PZS . Z18 SAO CAETANO         </t>
  </si>
  <si>
    <t xml:space="preserve">BOA VISTA           </t>
  </si>
  <si>
    <t xml:space="preserve">PZT . Z13 TANCREDO NEVES      </t>
  </si>
  <si>
    <t xml:space="preserve">VILA NANCY          </t>
  </si>
  <si>
    <t xml:space="preserve">RBH . REGIONAL BAHIA          </t>
  </si>
  <si>
    <t xml:space="preserve">RBV.CRFO RECIFE BOA VIAGEM    </t>
  </si>
  <si>
    <t xml:space="preserve">RCE.REGIONAL CEARA            </t>
  </si>
  <si>
    <t xml:space="preserve">RCN - COELHO NETO 05          </t>
  </si>
  <si>
    <t xml:space="preserve">COELHO NETO         </t>
  </si>
  <si>
    <t xml:space="preserve">RCS.PSL CONSENSUS             </t>
  </si>
  <si>
    <t xml:space="preserve">VILA OLIMPIA        </t>
  </si>
  <si>
    <t xml:space="preserve">RDC . CD ESPIRITO SANTO       </t>
  </si>
  <si>
    <t xml:space="preserve">RDC.MATRIZ                    </t>
  </si>
  <si>
    <t xml:space="preserve">PENHA               </t>
  </si>
  <si>
    <t xml:space="preserve">RIO.DE.JANEIRO      </t>
  </si>
  <si>
    <t xml:space="preserve">RDF.REGIONAL DISTRITO FEDERAL </t>
  </si>
  <si>
    <t>RDM . CRFO RECIFE DOMINGOS FER</t>
  </si>
  <si>
    <t>RDZ . CRFO RECIFE 17 DE AGOSTO</t>
  </si>
  <si>
    <t xml:space="preserve">MONTEIRO            </t>
  </si>
  <si>
    <t xml:space="preserve">REC.CRFO RECIFE               </t>
  </si>
  <si>
    <t xml:space="preserve">REN - ENGENHO NOVO            </t>
  </si>
  <si>
    <t xml:space="preserve">ENGENHO NOVO        </t>
  </si>
  <si>
    <t xml:space="preserve">RES.REGIONAL ESPIRITO SANTO   </t>
  </si>
  <si>
    <t xml:space="preserve">CARIACICA           </t>
  </si>
  <si>
    <t>RGN.REGIONAL RIO GRANDE DO NOR</t>
  </si>
  <si>
    <t xml:space="preserve">RGO.REGIONAL HIPER GOIAS      </t>
  </si>
  <si>
    <t xml:space="preserve">Santa Maria         </t>
  </si>
  <si>
    <t xml:space="preserve">Brasilia            </t>
  </si>
  <si>
    <t xml:space="preserve">RGU.REGIONAL UBERLANDIA       </t>
  </si>
  <si>
    <t xml:space="preserve">RHP.CRFO VITORIA              </t>
  </si>
  <si>
    <t xml:space="preserve">BARRO VERMELHO      </t>
  </si>
  <si>
    <t xml:space="preserve">VITORIA             </t>
  </si>
  <si>
    <t xml:space="preserve">RIN - INHAUMA 04              </t>
  </si>
  <si>
    <t xml:space="preserve">INHAUMA             </t>
  </si>
  <si>
    <t xml:space="preserve">RJA.CRFO AUTOMOVEL CLUBE      </t>
  </si>
  <si>
    <t xml:space="preserve">VICENTE DE CARVALHO </t>
  </si>
  <si>
    <t xml:space="preserve">RJB.CRFO RIO BARRA            </t>
  </si>
  <si>
    <t xml:space="preserve">RJD.CRFO DUQUE CAXIAS         </t>
  </si>
  <si>
    <t xml:space="preserve">RJF.REGIONAL JUIZ DE FORA     </t>
  </si>
  <si>
    <t xml:space="preserve">RJJ.CRFO SULACAP              </t>
  </si>
  <si>
    <t xml:space="preserve">JD SULACAP          </t>
  </si>
  <si>
    <t xml:space="preserve">RJM.CRFO MANILHA              </t>
  </si>
  <si>
    <t xml:space="preserve">NEVES               </t>
  </si>
  <si>
    <t xml:space="preserve">RJS.CRFO NORTE SHOPPING       </t>
  </si>
  <si>
    <t xml:space="preserve">ENGENHO DE DENTRO   </t>
  </si>
  <si>
    <t xml:space="preserve">RMD - MADUREIRA 11            </t>
  </si>
  <si>
    <t xml:space="preserve">MADUREIRA           </t>
  </si>
  <si>
    <t xml:space="preserve">RMN.REGIONAL MANAUS           </t>
  </si>
  <si>
    <t xml:space="preserve">RMT . SEDE BAIRRO ES          </t>
  </si>
  <si>
    <t xml:space="preserve">RNT.CRFO NITEROI BARCAS       </t>
  </si>
  <si>
    <t xml:space="preserve">RPB.REGIONAL PARAIBA          </t>
  </si>
  <si>
    <t xml:space="preserve">RPE.REGIONAL PERNAMBUCO       </t>
  </si>
  <si>
    <t xml:space="preserve">RPG.REGIONAL PORTO ALEGRE     </t>
  </si>
  <si>
    <t xml:space="preserve">PARTEON             </t>
  </si>
  <si>
    <t xml:space="preserve">RPL - PARADA DE LUCAS 03      </t>
  </si>
  <si>
    <t xml:space="preserve">PARADA DE LUCAS     </t>
  </si>
  <si>
    <t>RPN.CRFO RIBEIRAO PRETO VIA NO</t>
  </si>
  <si>
    <t>RPP.REGIONAL PRESIDENTE PRUDEN</t>
  </si>
  <si>
    <t xml:space="preserve">RPR.REGIONAL PARANA           </t>
  </si>
  <si>
    <t xml:space="preserve">RPS.CRFO RIBEIRAO PRETO       </t>
  </si>
  <si>
    <t xml:space="preserve">JD CALIFORNIA       </t>
  </si>
  <si>
    <t xml:space="preserve">RRL - REALENGO 12             </t>
  </si>
  <si>
    <t xml:space="preserve">REALENGO            </t>
  </si>
  <si>
    <t xml:space="preserve">RRN.REGIONAL RIO NORTE        </t>
  </si>
  <si>
    <t xml:space="preserve">RSC - SANTA CRUZ 15           </t>
  </si>
  <si>
    <t xml:space="preserve">SANTA CRUZ          </t>
  </si>
  <si>
    <t xml:space="preserve">RSE . REGIONAL SERGIPE        </t>
  </si>
  <si>
    <t xml:space="preserve">NOVO PARAISO        </t>
  </si>
  <si>
    <t xml:space="preserve">ARACAJU             </t>
  </si>
  <si>
    <t>SE</t>
  </si>
  <si>
    <t>RSI.REGIONAL SAO PAULO INTERIO</t>
  </si>
  <si>
    <t xml:space="preserve">VILA SIMOES         </t>
  </si>
  <si>
    <t xml:space="preserve">RSL - PENHA                   </t>
  </si>
  <si>
    <t xml:space="preserve">RST.CRFO SANTA CRUZ           </t>
  </si>
  <si>
    <t xml:space="preserve">SAV.CRFO SAO VICENTE          </t>
  </si>
  <si>
    <t xml:space="preserve">JD INDEPENDENCIA    </t>
  </si>
  <si>
    <t xml:space="preserve">SBC.CRFO SAO BERNADO DO CAMPO </t>
  </si>
  <si>
    <t xml:space="preserve">JD TRES MARIAS      </t>
  </si>
  <si>
    <t xml:space="preserve">SBD . CRFO DEMARCHI           </t>
  </si>
  <si>
    <t xml:space="preserve">SBK . CRFO BROOKLIN           </t>
  </si>
  <si>
    <t>SBP . CRFO SAO B DO CAMPO PAUL</t>
  </si>
  <si>
    <t xml:space="preserve">SCS.CRFO SAO CAETANO DO SUL   </t>
  </si>
  <si>
    <t xml:space="preserve">SJA . CRFO METROCAR           </t>
  </si>
  <si>
    <t xml:space="preserve">SJC.CRFO SAO JOSE CAMPOS      </t>
  </si>
  <si>
    <t xml:space="preserve">SERIMBURA           </t>
  </si>
  <si>
    <t xml:space="preserve">SJP.CRFO SAO JOSE RIO PRETO   </t>
  </si>
  <si>
    <t>SJS . ELETRO ATACADAO SAO JOSE</t>
  </si>
  <si>
    <t xml:space="preserve">SMA . CRFO SANTA MARIA        </t>
  </si>
  <si>
    <t xml:space="preserve">SON.CRFO SOROCABA NORTE       </t>
  </si>
  <si>
    <t xml:space="preserve">TERRA VERMELHA      </t>
  </si>
  <si>
    <t xml:space="preserve">SOR.CRFO SOROCABA             </t>
  </si>
  <si>
    <t xml:space="preserve">SPA.CRFO ANCHIETA             </t>
  </si>
  <si>
    <t xml:space="preserve">SAUDE               </t>
  </si>
  <si>
    <t xml:space="preserve">SPB.CRFO BUTANTA              </t>
  </si>
  <si>
    <t xml:space="preserve">CAXINGUI            </t>
  </si>
  <si>
    <t xml:space="preserve">SPC.CRFO CAMBUCI LION         </t>
  </si>
  <si>
    <t xml:space="preserve">SPE.CRFO PESSEGO              </t>
  </si>
  <si>
    <t xml:space="preserve">SPG.CRFO GIOVANI GRONCHI      </t>
  </si>
  <si>
    <t xml:space="preserve">STO AMARO           </t>
  </si>
  <si>
    <t xml:space="preserve">SPH . CRFO PENHA              </t>
  </si>
  <si>
    <t xml:space="preserve">PENHA DE FRANCA     </t>
  </si>
  <si>
    <t xml:space="preserve">SPI.CRFO INTERLAGOS           </t>
  </si>
  <si>
    <t xml:space="preserve">SPL.CRFO LIMAO                </t>
  </si>
  <si>
    <t xml:space="preserve">LIMAO               </t>
  </si>
  <si>
    <t xml:space="preserve">SPO.CRFO RAPOSO TAVARES       </t>
  </si>
  <si>
    <t xml:space="preserve">SPP.CRFO PINHEIROS            </t>
  </si>
  <si>
    <t xml:space="preserve">VILA GOMES          </t>
  </si>
  <si>
    <t xml:space="preserve">SPR.CRFO ARICANDUVA           </t>
  </si>
  <si>
    <t xml:space="preserve">JD.ARICANDUVA       </t>
  </si>
  <si>
    <t xml:space="preserve">SPS.CRFO IMIGRANTES           </t>
  </si>
  <si>
    <t xml:space="preserve">JARDIM SAUDE        </t>
  </si>
  <si>
    <t xml:space="preserve">SPT.CRFO TIETE                </t>
  </si>
  <si>
    <t xml:space="preserve">SPV.CRFO VILLA LOBOS          </t>
  </si>
  <si>
    <t xml:space="preserve">VL LEOPOLDINA       </t>
  </si>
  <si>
    <t xml:space="preserve">SSP . SEDE BAIRRO SP          </t>
  </si>
  <si>
    <t xml:space="preserve">STA.CRFO SANTO ANDRE          </t>
  </si>
  <si>
    <t xml:space="preserve">HUMAITA             </t>
  </si>
  <si>
    <t xml:space="preserve">STO.CRFO SANTO ANDRE RHODIA   </t>
  </si>
  <si>
    <t xml:space="preserve">PARQUE DAS NACOES   </t>
  </si>
  <si>
    <t xml:space="preserve">STS.CRFO TABOAO DA SERRA      </t>
  </si>
  <si>
    <t xml:space="preserve">TABOA DA SERRA      </t>
  </si>
  <si>
    <t xml:space="preserve">TAU . CRFO TAUBATE CHARLES    </t>
  </si>
  <si>
    <t xml:space="preserve">BARRANCO            </t>
  </si>
  <si>
    <t xml:space="preserve">TBE.CRFO TAMBORE              </t>
  </si>
  <si>
    <t>TTE.CRFO TATUAPE ANALIA FRANCO</t>
  </si>
  <si>
    <t xml:space="preserve">VILA REGENTE FEIJO  </t>
  </si>
  <si>
    <t xml:space="preserve">UBL.CRFO UBERLANDIA           </t>
  </si>
  <si>
    <t xml:space="preserve">STA MONICA          </t>
  </si>
  <si>
    <t xml:space="preserve">UBERLANDIA          </t>
  </si>
  <si>
    <t xml:space="preserve">UBR . CRFO UBERABA            </t>
  </si>
  <si>
    <t>Mês</t>
  </si>
  <si>
    <t>Produto</t>
  </si>
  <si>
    <t>Vendedor</t>
  </si>
  <si>
    <t>Total das Vendas</t>
  </si>
  <si>
    <t>Cidade</t>
  </si>
  <si>
    <t>Bairro</t>
  </si>
  <si>
    <t>Região</t>
  </si>
  <si>
    <t>Maio</t>
  </si>
  <si>
    <t>Laticínios</t>
  </si>
  <si>
    <t>Amaral</t>
  </si>
  <si>
    <t>Oeste</t>
  </si>
  <si>
    <t>Carnes</t>
  </si>
  <si>
    <t>Bonfim</t>
  </si>
  <si>
    <t>Leste</t>
  </si>
  <si>
    <t>Sul</t>
  </si>
  <si>
    <t>Junho</t>
  </si>
  <si>
    <t>Norte</t>
  </si>
  <si>
    <t>Março</t>
  </si>
  <si>
    <t>Pereira</t>
  </si>
  <si>
    <t>Adilson</t>
  </si>
  <si>
    <t>Janeiro</t>
  </si>
  <si>
    <t>Fevereiro</t>
  </si>
  <si>
    <t>Abril</t>
  </si>
  <si>
    <t>Dezembro</t>
  </si>
  <si>
    <t>Agosto</t>
  </si>
  <si>
    <t>Setembro</t>
  </si>
  <si>
    <t>Outubro</t>
  </si>
  <si>
    <t>Novembro</t>
  </si>
  <si>
    <t>Julho</t>
  </si>
  <si>
    <t>Controle de Estoque</t>
  </si>
  <si>
    <t>Marca</t>
  </si>
  <si>
    <t>Tipo</t>
  </si>
  <si>
    <t>Quantidade</t>
  </si>
  <si>
    <t>Valor Total</t>
  </si>
  <si>
    <t>Microsoft</t>
  </si>
  <si>
    <t>Gradiente</t>
  </si>
  <si>
    <t>TV</t>
  </si>
  <si>
    <t>Siemens</t>
  </si>
  <si>
    <t>Celular</t>
  </si>
  <si>
    <t>HP</t>
  </si>
  <si>
    <t>Samsung</t>
  </si>
  <si>
    <t>celular</t>
  </si>
  <si>
    <t>Toshiba</t>
  </si>
  <si>
    <t>AOC</t>
  </si>
  <si>
    <t>LG</t>
  </si>
  <si>
    <t>Tv</t>
  </si>
  <si>
    <t>Som</t>
  </si>
  <si>
    <t>DVD</t>
  </si>
  <si>
    <t>Windows Vista</t>
  </si>
  <si>
    <t>Análise das Vendas</t>
  </si>
  <si>
    <t>Melhor Caso</t>
  </si>
  <si>
    <t>Semestre</t>
  </si>
  <si>
    <t>País</t>
  </si>
  <si>
    <t>Unidade</t>
  </si>
  <si>
    <t>Custo</t>
  </si>
  <si>
    <t>Preço</t>
  </si>
  <si>
    <t>Total</t>
  </si>
  <si>
    <t>1º Jan - Jun</t>
  </si>
  <si>
    <t>Austrália</t>
  </si>
  <si>
    <t>Flauta</t>
  </si>
  <si>
    <t>França</t>
  </si>
  <si>
    <t>Saxofone</t>
  </si>
  <si>
    <t>2º Jul - Dez</t>
  </si>
  <si>
    <t>Itália</t>
  </si>
  <si>
    <t>Trompete</t>
  </si>
  <si>
    <t>Suécia</t>
  </si>
  <si>
    <t>Violino</t>
  </si>
  <si>
    <t>Brasil</t>
  </si>
  <si>
    <t>Pandeiro</t>
  </si>
  <si>
    <t>Bélgica</t>
  </si>
  <si>
    <t>Guitarra</t>
  </si>
  <si>
    <t>Valor unitário em Real</t>
  </si>
  <si>
    <t>Arroz</t>
  </si>
  <si>
    <t>Feijão</t>
  </si>
  <si>
    <t>Queijo</t>
  </si>
  <si>
    <t>Presunto</t>
  </si>
  <si>
    <t>Peso</t>
  </si>
  <si>
    <t>5 Kg</t>
  </si>
  <si>
    <t>1 Kg</t>
  </si>
  <si>
    <t>300 g</t>
  </si>
  <si>
    <t>260 g</t>
  </si>
  <si>
    <t>Total grãos:</t>
  </si>
  <si>
    <t>Despesa</t>
  </si>
  <si>
    <t>Carro</t>
  </si>
  <si>
    <t>Salário Liquido</t>
  </si>
  <si>
    <t>Internet</t>
  </si>
  <si>
    <t>Saldo</t>
  </si>
  <si>
    <t>Luz</t>
  </si>
  <si>
    <t>Faculdade</t>
  </si>
  <si>
    <t>Água</t>
  </si>
  <si>
    <t>Código</t>
  </si>
  <si>
    <t>Funções</t>
  </si>
  <si>
    <t>Maiúscula</t>
  </si>
  <si>
    <t>Minúscula</t>
  </si>
  <si>
    <t>Pri.Maiúscula</t>
  </si>
  <si>
    <t>Localizar</t>
  </si>
  <si>
    <t>Concatenar</t>
  </si>
  <si>
    <t>965F</t>
  </si>
  <si>
    <t>78F3</t>
  </si>
  <si>
    <t>453A</t>
  </si>
  <si>
    <t>91F2</t>
  </si>
  <si>
    <t>102F</t>
  </si>
  <si>
    <t>977D</t>
  </si>
  <si>
    <t>771T</t>
  </si>
  <si>
    <t>aOc</t>
  </si>
  <si>
    <t>gradiEntE</t>
  </si>
  <si>
    <t>hP</t>
  </si>
  <si>
    <t>lG</t>
  </si>
  <si>
    <t>micRoSoFt</t>
  </si>
  <si>
    <t>samSunG</t>
  </si>
  <si>
    <t>siEmEns</t>
  </si>
  <si>
    <t>tOsHiBa</t>
  </si>
  <si>
    <t>Esquerda</t>
  </si>
  <si>
    <t>Direita</t>
  </si>
  <si>
    <t>Funções Matemáticas e Trigonométricas</t>
  </si>
  <si>
    <t>Valores</t>
  </si>
  <si>
    <t>ARRED</t>
  </si>
  <si>
    <t>ARREDONDAR PARA CIMA</t>
  </si>
  <si>
    <t>ARREDONDAR PARA BAIXO</t>
  </si>
  <si>
    <t>INT</t>
  </si>
  <si>
    <t>Data</t>
  </si>
  <si>
    <t>Valor</t>
  </si>
  <si>
    <t>Márcia</t>
  </si>
  <si>
    <t>Mauro</t>
  </si>
  <si>
    <t>Jonas</t>
  </si>
  <si>
    <t>Felipe</t>
  </si>
  <si>
    <t>Memória</t>
  </si>
  <si>
    <t>Antônio</t>
  </si>
  <si>
    <t>Quantidades de Datas</t>
  </si>
  <si>
    <t>CONT.NÚM</t>
  </si>
  <si>
    <t>CONT.VALORES</t>
  </si>
  <si>
    <t>CONT.VAZIO</t>
  </si>
  <si>
    <t>Quantidades de Datas em Branco</t>
  </si>
  <si>
    <t>CONT.SE</t>
  </si>
  <si>
    <t>Vendedor Antônio</t>
  </si>
  <si>
    <t>Idade</t>
  </si>
  <si>
    <t>Médico</t>
  </si>
  <si>
    <t>Pediatra</t>
  </si>
  <si>
    <t>Clínico Geral</t>
  </si>
  <si>
    <t>Geriatra</t>
  </si>
  <si>
    <t>Consulta</t>
  </si>
  <si>
    <t>Paciente</t>
  </si>
  <si>
    <t>Dt. Nascimento</t>
  </si>
  <si>
    <t>Murilo</t>
  </si>
  <si>
    <t>Célia</t>
  </si>
  <si>
    <t>Amanda</t>
  </si>
  <si>
    <t>Rebeca</t>
  </si>
  <si>
    <t>Francisco</t>
  </si>
  <si>
    <t>Carlos</t>
  </si>
  <si>
    <t>Consulta de dados por Nome</t>
  </si>
  <si>
    <t>Nome</t>
  </si>
  <si>
    <t>Endereço</t>
  </si>
  <si>
    <t>Estado</t>
  </si>
  <si>
    <t>Ana</t>
  </si>
  <si>
    <t xml:space="preserve">Rodovia Anhanguera, km 180 </t>
  </si>
  <si>
    <t xml:space="preserve">Centro </t>
  </si>
  <si>
    <t xml:space="preserve">Leme </t>
  </si>
  <si>
    <t xml:space="preserve">SP </t>
  </si>
  <si>
    <t>Nome:</t>
  </si>
  <si>
    <t>Helena</t>
  </si>
  <si>
    <t>Eduardo</t>
  </si>
  <si>
    <t>R. Antônio de Castro, 362</t>
  </si>
  <si>
    <t>São Benedito</t>
  </si>
  <si>
    <t>Araras</t>
  </si>
  <si>
    <t>Endereço:</t>
  </si>
  <si>
    <t>Érica</t>
  </si>
  <si>
    <t>R. Tiradentes, 123</t>
  </si>
  <si>
    <t>Centro</t>
  </si>
  <si>
    <t xml:space="preserve">Salvador </t>
  </si>
  <si>
    <t>Bairro:</t>
  </si>
  <si>
    <t>Fernanda</t>
  </si>
  <si>
    <t>Av. Orozimbo Maia, 987</t>
  </si>
  <si>
    <t>Jd. Nova Campinas</t>
  </si>
  <si>
    <t>Campinas</t>
  </si>
  <si>
    <t>Cidade:</t>
  </si>
  <si>
    <t>Gabriela</t>
  </si>
  <si>
    <t xml:space="preserve">Rodovia Rio/São Paulo, km 77 </t>
  </si>
  <si>
    <t xml:space="preserve">Praia Grande </t>
  </si>
  <si>
    <t xml:space="preserve">Ubatuba </t>
  </si>
  <si>
    <t>Estado:</t>
  </si>
  <si>
    <t xml:space="preserve">R. Júlio Mesquita, 66 </t>
  </si>
  <si>
    <t>Recife</t>
  </si>
  <si>
    <t>Katiane</t>
  </si>
  <si>
    <t xml:space="preserve">R. 5, 78 </t>
  </si>
  <si>
    <t xml:space="preserve">Jd. Europa </t>
  </si>
  <si>
    <t xml:space="preserve">Rio Claro </t>
  </si>
  <si>
    <t>Lilian</t>
  </si>
  <si>
    <t>R. Lambarildo Peixe, 812</t>
  </si>
  <si>
    <t>Vila Tubarão</t>
  </si>
  <si>
    <t>Ribeirão Preto</t>
  </si>
  <si>
    <t>Lucimara</t>
  </si>
  <si>
    <t>Av. dos Jequitibas, 11</t>
  </si>
  <si>
    <t>Jd. Paulista</t>
  </si>
  <si>
    <t>Florianópolis</t>
  </si>
  <si>
    <t>SC</t>
  </si>
  <si>
    <t>Maria</t>
  </si>
  <si>
    <t xml:space="preserve">Av. Ipiranga, 568 </t>
  </si>
  <si>
    <t xml:space="preserve">Ibirapuera </t>
  </si>
  <si>
    <t>Manaus</t>
  </si>
  <si>
    <t>Pedro</t>
  </si>
  <si>
    <t>R. Sergipe, 765</t>
  </si>
  <si>
    <t>Botafogo</t>
  </si>
  <si>
    <t>Roberto</t>
  </si>
  <si>
    <t>Av. Limeira, 98</t>
  </si>
  <si>
    <t>Belvedere</t>
  </si>
  <si>
    <t>Rubens</t>
  </si>
  <si>
    <t xml:space="preserve">Al. dos Laranjais, 99 </t>
  </si>
  <si>
    <t xml:space="preserve">Rio de Janeiro </t>
  </si>
  <si>
    <t>Sônia</t>
  </si>
  <si>
    <t xml:space="preserve">R. das Quaresmeiras, 810 </t>
  </si>
  <si>
    <t xml:space="preserve">Vila Cláudia </t>
  </si>
  <si>
    <t xml:space="preserve">Porto Alegre </t>
  </si>
  <si>
    <t>Tatiane</t>
  </si>
  <si>
    <t xml:space="preserve">R. Minas Gerais, 67 </t>
  </si>
  <si>
    <t xml:space="preserve">Parque Industrial </t>
  </si>
  <si>
    <t xml:space="preserve">Poços de Caldas </t>
  </si>
  <si>
    <t>Fabricante</t>
  </si>
  <si>
    <t>Modelos</t>
  </si>
  <si>
    <t>Potência</t>
  </si>
  <si>
    <t>São Paulo</t>
  </si>
  <si>
    <t>Curitiba</t>
  </si>
  <si>
    <t>Goiânia</t>
  </si>
  <si>
    <t>Natal</t>
  </si>
  <si>
    <t>Estoque</t>
  </si>
  <si>
    <t>CC</t>
  </si>
  <si>
    <t>Valvulas</t>
  </si>
  <si>
    <t>Audi</t>
  </si>
  <si>
    <t>A4 Sport</t>
  </si>
  <si>
    <t>2.0</t>
  </si>
  <si>
    <t>Campo</t>
  </si>
  <si>
    <t>Num_Coluna</t>
  </si>
  <si>
    <t>R8 Spyder</t>
  </si>
  <si>
    <t>5.2</t>
  </si>
  <si>
    <t>BMW</t>
  </si>
  <si>
    <t>X5 Top</t>
  </si>
  <si>
    <t>3.0</t>
  </si>
  <si>
    <t>X5 Sport</t>
  </si>
  <si>
    <t>4.8</t>
  </si>
  <si>
    <t>Chevrolet</t>
  </si>
  <si>
    <t>Vectra Sedan Elite Blindado N3</t>
  </si>
  <si>
    <t>Válvulas</t>
  </si>
  <si>
    <t>Chrysler</t>
  </si>
  <si>
    <t>Town &amp; Country Touring</t>
  </si>
  <si>
    <t>3.6</t>
  </si>
  <si>
    <t>Citroën</t>
  </si>
  <si>
    <t>C3 Exclusive</t>
  </si>
  <si>
    <t>1.4</t>
  </si>
  <si>
    <t>C3 Exclusive Automático</t>
  </si>
  <si>
    <t>1.6</t>
  </si>
  <si>
    <t>C4 Hatch Sport</t>
  </si>
  <si>
    <t>C4 Pallas</t>
  </si>
  <si>
    <t>Xsara Picasso</t>
  </si>
  <si>
    <t>Fiat</t>
  </si>
  <si>
    <t>500 Sport</t>
  </si>
  <si>
    <t>Doblo Cargo</t>
  </si>
  <si>
    <t>Retornando Modelo</t>
  </si>
  <si>
    <t>Palio Adventure</t>
  </si>
  <si>
    <t>1.8</t>
  </si>
  <si>
    <t>Forma de Matriz</t>
  </si>
  <si>
    <t>Palio Attractive</t>
  </si>
  <si>
    <t>Palio Essence</t>
  </si>
  <si>
    <t>Siena Essence</t>
  </si>
  <si>
    <t>Retornando Custo</t>
  </si>
  <si>
    <t>Siena Essence Evolution</t>
  </si>
  <si>
    <t>Forma de Referência</t>
  </si>
  <si>
    <t>Siena Fire</t>
  </si>
  <si>
    <t>1.0</t>
  </si>
  <si>
    <t>Uno Evo Attractive Celebration</t>
  </si>
  <si>
    <t>Uno Evo Vivace HSD</t>
  </si>
  <si>
    <t>Num_Linha</t>
  </si>
  <si>
    <t>Uno Vivace Kit Visibilidade</t>
  </si>
  <si>
    <t>Uno Vivace Smile</t>
  </si>
  <si>
    <t>Ford</t>
  </si>
  <si>
    <t>Courier L</t>
  </si>
  <si>
    <t>Ecosport XLS</t>
  </si>
  <si>
    <t>Focus Sedan GLX Kinetic</t>
  </si>
  <si>
    <t>KA Kinetic</t>
  </si>
  <si>
    <t>Ranger XLT</t>
  </si>
  <si>
    <t>Honda</t>
  </si>
  <si>
    <t>City Sedan</t>
  </si>
  <si>
    <t>1.5</t>
  </si>
  <si>
    <t>New Fit</t>
  </si>
  <si>
    <t>Hyundai</t>
  </si>
  <si>
    <t>Elantra Sedan</t>
  </si>
  <si>
    <t>IX35 GLS</t>
  </si>
  <si>
    <t>Santa FE GLS</t>
  </si>
  <si>
    <t>2.4</t>
  </si>
  <si>
    <t>Sonata Sedan GLS</t>
  </si>
  <si>
    <t>Veloster</t>
  </si>
  <si>
    <t>Infiniti</t>
  </si>
  <si>
    <t>FX-50S AWD</t>
  </si>
  <si>
    <t>5.0</t>
  </si>
  <si>
    <t>Jac</t>
  </si>
  <si>
    <t>J3 Turin</t>
  </si>
  <si>
    <t>Jeep</t>
  </si>
  <si>
    <t>Compass Limited</t>
  </si>
  <si>
    <t>Kia</t>
  </si>
  <si>
    <t>New Cerato</t>
  </si>
  <si>
    <t>Picanto</t>
  </si>
  <si>
    <t>Dia</t>
  </si>
  <si>
    <t>Domingo</t>
  </si>
  <si>
    <t>Posição</t>
  </si>
  <si>
    <t>Segunda-feira</t>
  </si>
  <si>
    <t>Terça-feira</t>
  </si>
  <si>
    <t>Quarta-feira</t>
  </si>
  <si>
    <t>Quinta-feira</t>
  </si>
  <si>
    <t>Sexta-feira</t>
  </si>
  <si>
    <t>Sábado</t>
  </si>
  <si>
    <t>BDMÉDIA</t>
  </si>
  <si>
    <t>Critérios</t>
  </si>
  <si>
    <t>BDCONTAR</t>
  </si>
  <si>
    <t>Total Contagem</t>
  </si>
  <si>
    <t>BDMÍN</t>
  </si>
  <si>
    <t>BDMÁX</t>
  </si>
  <si>
    <t>BDSOMA</t>
  </si>
  <si>
    <t>Total Custo</t>
  </si>
  <si>
    <t>Retorno da Função</t>
  </si>
  <si>
    <t>Cálculo</t>
  </si>
  <si>
    <t>Comparação</t>
  </si>
  <si>
    <t>Função</t>
  </si>
  <si>
    <t>Dados</t>
  </si>
  <si>
    <t>Taxa</t>
  </si>
  <si>
    <t>Valor Futuro</t>
  </si>
  <si>
    <t>Nper</t>
  </si>
  <si>
    <t>PGTO</t>
  </si>
  <si>
    <t>Valor Presente</t>
  </si>
  <si>
    <t>TIPO</t>
  </si>
  <si>
    <t>NPER</t>
  </si>
  <si>
    <t>VF</t>
  </si>
  <si>
    <t>Pagamento</t>
  </si>
  <si>
    <t>Taxa de Juros</t>
  </si>
  <si>
    <t>Período</t>
  </si>
  <si>
    <t>New Solver Company</t>
  </si>
  <si>
    <t>Orçamento:</t>
  </si>
  <si>
    <t>Descrição</t>
  </si>
  <si>
    <t>Notebooks</t>
  </si>
  <si>
    <t>Exatamente</t>
  </si>
  <si>
    <t>Cadeiras</t>
  </si>
  <si>
    <t>Para cada 2 notebooks</t>
  </si>
  <si>
    <t>Scanner</t>
  </si>
  <si>
    <t>Mesas</t>
  </si>
  <si>
    <t>Para cada 1 scanner</t>
  </si>
  <si>
    <t>Total Geral:</t>
  </si>
  <si>
    <t>Donos</t>
  </si>
  <si>
    <t>Vectra</t>
  </si>
  <si>
    <t>Corsa</t>
  </si>
  <si>
    <t>Palio</t>
  </si>
  <si>
    <t>Celta</t>
  </si>
  <si>
    <t>Ranger</t>
  </si>
  <si>
    <t>Uno</t>
  </si>
  <si>
    <t>Peugeot 307</t>
  </si>
  <si>
    <t>Gol</t>
  </si>
  <si>
    <t>Focus</t>
  </si>
  <si>
    <t>New Civic</t>
  </si>
  <si>
    <t>Ecosport</t>
  </si>
  <si>
    <t>Jetta</t>
  </si>
  <si>
    <t>F-250</t>
  </si>
  <si>
    <t>Punto</t>
  </si>
  <si>
    <t>Corolla</t>
  </si>
  <si>
    <t>Siena</t>
  </si>
  <si>
    <t>Captiva</t>
  </si>
  <si>
    <t>Camaro</t>
  </si>
  <si>
    <t>Corvette</t>
  </si>
  <si>
    <t>Maverick</t>
  </si>
  <si>
    <t>$G$3</t>
  </si>
  <si>
    <t>Rótulos de Linha</t>
  </si>
  <si>
    <t>Pior Caso</t>
  </si>
  <si>
    <t>(Tudo)</t>
  </si>
  <si>
    <t>Total de vendas</t>
  </si>
  <si>
    <t>Total das vendas</t>
  </si>
  <si>
    <t>Melhor caso</t>
  </si>
  <si>
    <t>Índice por semestre</t>
  </si>
  <si>
    <t>Quantidade donos</t>
  </si>
  <si>
    <t>Ano de fabricação</t>
  </si>
  <si>
    <t>Valor unitário</t>
  </si>
  <si>
    <t>Total frios:</t>
  </si>
  <si>
    <t>Despesa mensal</t>
  </si>
  <si>
    <t>Total das despesas</t>
  </si>
  <si>
    <t>VALORES</t>
  </si>
  <si>
    <t>Valor total</t>
  </si>
  <si>
    <t>Dia da semana</t>
  </si>
  <si>
    <t>Valor do automóvel</t>
  </si>
  <si>
    <t>Valor da mensalidade</t>
  </si>
  <si>
    <t>Preço unitário</t>
  </si>
  <si>
    <t>Total geral</t>
  </si>
  <si>
    <t>Soma de Valor Total</t>
  </si>
  <si>
    <t>&gt;6000</t>
  </si>
  <si>
    <t>Canada</t>
  </si>
  <si>
    <t>Ceará</t>
  </si>
  <si>
    <t>Fideco Region</t>
  </si>
  <si>
    <t>Firamo Region</t>
  </si>
  <si>
    <t>Firar Region</t>
  </si>
  <si>
    <t>Minas Gerais</t>
  </si>
  <si>
    <t>Pernambuco</t>
  </si>
  <si>
    <t>Rio de Janeiro</t>
  </si>
  <si>
    <t>Usa</t>
  </si>
  <si>
    <t>Western Europe</t>
  </si>
  <si>
    <t>Soma de Vendas</t>
  </si>
  <si>
    <t>NumeroDoPedido</t>
  </si>
  <si>
    <t>CodigoDoCliente</t>
  </si>
  <si>
    <t>CodigoDoFuncionario</t>
  </si>
  <si>
    <t>DataDoPedido</t>
  </si>
  <si>
    <t>DataDeEntrega</t>
  </si>
  <si>
    <t>DataDeEnvio</t>
  </si>
  <si>
    <t>Via</t>
  </si>
  <si>
    <t>Frete</t>
  </si>
  <si>
    <t>NomeDoDestinatario</t>
  </si>
  <si>
    <t>EnderecoDoDestinatario</t>
  </si>
  <si>
    <t>CidadeDeDestino</t>
  </si>
  <si>
    <t>RegiaoDeDestino</t>
  </si>
  <si>
    <t>CEPdeDestino</t>
  </si>
  <si>
    <t>PaisDeDestino</t>
  </si>
  <si>
    <t>VINET</t>
  </si>
  <si>
    <t>Vins et alcools Chevalier</t>
  </si>
  <si>
    <t>59 rue de l'Abbaye</t>
  </si>
  <si>
    <t>Reims</t>
  </si>
  <si>
    <t>TOMSP</t>
  </si>
  <si>
    <t>Toms Spezialitäten</t>
  </si>
  <si>
    <t>Luisenstr. 48</t>
  </si>
  <si>
    <t>Münster</t>
  </si>
  <si>
    <t>Alemanha</t>
  </si>
  <si>
    <t>HANAR</t>
  </si>
  <si>
    <t>Hanari Carnes</t>
  </si>
  <si>
    <t>Rua do Paço, 67</t>
  </si>
  <si>
    <t>05454-876</t>
  </si>
  <si>
    <t>VICTE</t>
  </si>
  <si>
    <t>Victuailles en stock</t>
  </si>
  <si>
    <t>2, rue du Commerce</t>
  </si>
  <si>
    <t>Lyon</t>
  </si>
  <si>
    <t>SUPRD</t>
  </si>
  <si>
    <t>Suprêmes délices</t>
  </si>
  <si>
    <t>Boulevard Tirou, 255</t>
  </si>
  <si>
    <t>Charleroi</t>
  </si>
  <si>
    <t>B-6000</t>
  </si>
  <si>
    <t>CHOPS</t>
  </si>
  <si>
    <t>Chop-suey Chinese</t>
  </si>
  <si>
    <t>Hauptstr. 31</t>
  </si>
  <si>
    <t>Bern</t>
  </si>
  <si>
    <t>Suíça</t>
  </si>
  <si>
    <t>RICSU</t>
  </si>
  <si>
    <t>Richter Supermarkt</t>
  </si>
  <si>
    <t>Starenweg 5</t>
  </si>
  <si>
    <t>Genève</t>
  </si>
  <si>
    <t>WELLI</t>
  </si>
  <si>
    <t>Wellington Importadora</t>
  </si>
  <si>
    <t>Rua do Mercado, 12</t>
  </si>
  <si>
    <t>Resende</t>
  </si>
  <si>
    <t>08737-363</t>
  </si>
  <si>
    <t>HILAA</t>
  </si>
  <si>
    <t>HILARIÓN-Abastos</t>
  </si>
  <si>
    <t>Carrera 22 con Ave. Carlos Soublette #8-35</t>
  </si>
  <si>
    <t>San Cristóbal</t>
  </si>
  <si>
    <t>Táchira</t>
  </si>
  <si>
    <t>Venezuela</t>
  </si>
  <si>
    <t>ERNSH</t>
  </si>
  <si>
    <t>Ernst Handel</t>
  </si>
  <si>
    <t>Kirchgasse 6</t>
  </si>
  <si>
    <t>Graz</t>
  </si>
  <si>
    <t>Áustria</t>
  </si>
  <si>
    <t>CENTC</t>
  </si>
  <si>
    <t>Centro comercial Moctezuma</t>
  </si>
  <si>
    <t>Sierras de Granada 9993</t>
  </si>
  <si>
    <t>México D.F.</t>
  </si>
  <si>
    <t>México</t>
  </si>
  <si>
    <t>OTTIK</t>
  </si>
  <si>
    <t>Ottilies Käseladen</t>
  </si>
  <si>
    <t>Mehrheimerstr. 369</t>
  </si>
  <si>
    <t>Köln</t>
  </si>
  <si>
    <t>QUEDE</t>
  </si>
  <si>
    <t>Que Delícia</t>
  </si>
  <si>
    <t>Rua da Panificadora, 12</t>
  </si>
  <si>
    <t>02389-673</t>
  </si>
  <si>
    <t>RATTC</t>
  </si>
  <si>
    <t>Rattlesnake Canyon Grocery</t>
  </si>
  <si>
    <t>2817 Milton Dr.</t>
  </si>
  <si>
    <t>Albuquerque</t>
  </si>
  <si>
    <t>NM</t>
  </si>
  <si>
    <t>EUA</t>
  </si>
  <si>
    <t>FOLKO</t>
  </si>
  <si>
    <t>Folk och fä HB</t>
  </si>
  <si>
    <t>Åkergatan 24</t>
  </si>
  <si>
    <t>Bräcke</t>
  </si>
  <si>
    <t>S-844 67</t>
  </si>
  <si>
    <t>BLONP</t>
  </si>
  <si>
    <t>Blondel père et fils</t>
  </si>
  <si>
    <t>24, place Kléber</t>
  </si>
  <si>
    <t>Strasbourg</t>
  </si>
  <si>
    <t>WARTH</t>
  </si>
  <si>
    <t>Wartian Herkku</t>
  </si>
  <si>
    <t>Torikatu 38</t>
  </si>
  <si>
    <t>Oulu</t>
  </si>
  <si>
    <t>Finlândia</t>
  </si>
  <si>
    <t>FRANK</t>
  </si>
  <si>
    <t>Frankenversand</t>
  </si>
  <si>
    <t>Berliner Platz 43</t>
  </si>
  <si>
    <t>München</t>
  </si>
  <si>
    <t>GROSR</t>
  </si>
  <si>
    <t>GROSELLA-Restaurante</t>
  </si>
  <si>
    <t>5ª Ave. Los Palos Grandes</t>
  </si>
  <si>
    <t>Caracas</t>
  </si>
  <si>
    <t>WHITC</t>
  </si>
  <si>
    <t>White Clover Markets</t>
  </si>
  <si>
    <t>1029 - 12th Ave. S.</t>
  </si>
  <si>
    <t>Seattle</t>
  </si>
  <si>
    <t>WA</t>
  </si>
  <si>
    <t>SPLIR</t>
  </si>
  <si>
    <t>Split Rail Beer &amp; Ale</t>
  </si>
  <si>
    <t>P.O. Box 555</t>
  </si>
  <si>
    <t>Lander</t>
  </si>
  <si>
    <t>WY</t>
  </si>
  <si>
    <t>QUICK</t>
  </si>
  <si>
    <t>QUICK-Stop</t>
  </si>
  <si>
    <t>Taucherstraße 10</t>
  </si>
  <si>
    <t>Cunewalde</t>
  </si>
  <si>
    <t>MAGAA</t>
  </si>
  <si>
    <t>Magazzini Alimentari Riuniti</t>
  </si>
  <si>
    <t>Via Ludovico il Moro 22</t>
  </si>
  <si>
    <t>Bergamo</t>
  </si>
  <si>
    <t>TORTU</t>
  </si>
  <si>
    <t>Tortuga Restaurante</t>
  </si>
  <si>
    <t>Avda. Azteca 123</t>
  </si>
  <si>
    <t>MORGK</t>
  </si>
  <si>
    <t>Morgenstern Gesundkost</t>
  </si>
  <si>
    <t>Heerstr. 22</t>
  </si>
  <si>
    <t>Leipzig</t>
  </si>
  <si>
    <t>BERGS</t>
  </si>
  <si>
    <t>Berglunds snabbköp</t>
  </si>
  <si>
    <t>Berguvsvägen  8</t>
  </si>
  <si>
    <t>Luleå</t>
  </si>
  <si>
    <t>S-958 22</t>
  </si>
  <si>
    <t>LEHMS</t>
  </si>
  <si>
    <t>Lehmanns Marktstand</t>
  </si>
  <si>
    <t>Magazinweg 7</t>
  </si>
  <si>
    <t>Frankfurt a.M.</t>
  </si>
  <si>
    <t>ROMEY</t>
  </si>
  <si>
    <t>Romero y tomillo</t>
  </si>
  <si>
    <t>Gran Vía, 1</t>
  </si>
  <si>
    <t>Madrid</t>
  </si>
  <si>
    <t>Espanha</t>
  </si>
  <si>
    <t>LILAS</t>
  </si>
  <si>
    <t>LILA-Supermercado</t>
  </si>
  <si>
    <t>Carrera 52 con Ave. Bolívar #65-98 Llano Largo</t>
  </si>
  <si>
    <t>Barquisimeto</t>
  </si>
  <si>
    <t>Lara</t>
  </si>
  <si>
    <t>RICAR</t>
  </si>
  <si>
    <t>Ricardo Adocicados</t>
  </si>
  <si>
    <t>Av. Copacabana, 267</t>
  </si>
  <si>
    <t>02389-890</t>
  </si>
  <si>
    <t>REGGC</t>
  </si>
  <si>
    <t>Reggiani Caseifici</t>
  </si>
  <si>
    <t>Strada Provinciale 124</t>
  </si>
  <si>
    <t>Reggio Emilia</t>
  </si>
  <si>
    <t>BSBEV</t>
  </si>
  <si>
    <t>B's Beverages</t>
  </si>
  <si>
    <t>Fauntleroy Circus</t>
  </si>
  <si>
    <t>London</t>
  </si>
  <si>
    <t>EC2 5NT</t>
  </si>
  <si>
    <t>Reino Unido</t>
  </si>
  <si>
    <t>COMMI</t>
  </si>
  <si>
    <t>Comércio Mineiro</t>
  </si>
  <si>
    <t>Av. dos Lusíadas, 23</t>
  </si>
  <si>
    <t>05432-043</t>
  </si>
  <si>
    <t>TRADH</t>
  </si>
  <si>
    <t>Tradição Hipermercados</t>
  </si>
  <si>
    <t>Av. Inês de Castro, 414</t>
  </si>
  <si>
    <t>05634-030</t>
  </si>
  <si>
    <t>HUNGO</t>
  </si>
  <si>
    <t>Hungry Owl All-Night Grocers</t>
  </si>
  <si>
    <t>8 Johnstown Road</t>
  </si>
  <si>
    <t>Cork</t>
  </si>
  <si>
    <t>Co. Cork</t>
  </si>
  <si>
    <t>Irlanda</t>
  </si>
  <si>
    <t>WANDK</t>
  </si>
  <si>
    <t>Die Wandernde Kuh</t>
  </si>
  <si>
    <t>Adenauerallee 900</t>
  </si>
  <si>
    <t>Stuttgart</t>
  </si>
  <si>
    <t>GODOS</t>
  </si>
  <si>
    <t>Godos Cocina Típica</t>
  </si>
  <si>
    <t>C/ Romero, 33</t>
  </si>
  <si>
    <t>Sevilla</t>
  </si>
  <si>
    <t>OLDWO</t>
  </si>
  <si>
    <t>Old World Delicatessen</t>
  </si>
  <si>
    <t>2743 Bering St.</t>
  </si>
  <si>
    <t>Anchorage</t>
  </si>
  <si>
    <t>AK</t>
  </si>
  <si>
    <t>LONEP</t>
  </si>
  <si>
    <t>Lonesome Pine Restaurant</t>
  </si>
  <si>
    <t>89 Chiaroscuro Rd.</t>
  </si>
  <si>
    <t>Portland</t>
  </si>
  <si>
    <t>OR</t>
  </si>
  <si>
    <t>ANATR</t>
  </si>
  <si>
    <t>Ana Trujillo Emparedados y helados</t>
  </si>
  <si>
    <t>Avda. de la Constitución 2222</t>
  </si>
  <si>
    <t>THEBI</t>
  </si>
  <si>
    <t>The Big Cheese</t>
  </si>
  <si>
    <t>89 Jefferson Way</t>
  </si>
  <si>
    <t>Suite 2"</t>
  </si>
  <si>
    <t>DUMON</t>
  </si>
  <si>
    <t>Du monde entier</t>
  </si>
  <si>
    <t>67, rue des Cinquante Otages</t>
  </si>
  <si>
    <t>Nantes</t>
  </si>
  <si>
    <t>ISLAT</t>
  </si>
  <si>
    <t>Island Trading</t>
  </si>
  <si>
    <t>Garden House</t>
  </si>
  <si>
    <t>Crowther Way"</t>
  </si>
  <si>
    <t>Cowes</t>
  </si>
  <si>
    <t>Isle of Wight</t>
  </si>
  <si>
    <t>PO31 7PJ</t>
  </si>
  <si>
    <t>PERIC</t>
  </si>
  <si>
    <t>Pericles Comidas clásicas</t>
  </si>
  <si>
    <t>Calle Dr. Jorge Cash 321</t>
  </si>
  <si>
    <t>KOENE</t>
  </si>
  <si>
    <t>Königlich Essen</t>
  </si>
  <si>
    <t>Maubelstr. 90</t>
  </si>
  <si>
    <t>Brandenburg</t>
  </si>
  <si>
    <t>SAVEA</t>
  </si>
  <si>
    <t>Save-a-lot Markets</t>
  </si>
  <si>
    <t>187 Suffolk Ln.</t>
  </si>
  <si>
    <t>Boise</t>
  </si>
  <si>
    <t>ID</t>
  </si>
  <si>
    <t>BOLID</t>
  </si>
  <si>
    <t>Bólido Comidas preparadas</t>
  </si>
  <si>
    <t>C/ Araquil, 67</t>
  </si>
  <si>
    <t>FURIB</t>
  </si>
  <si>
    <t>Furia Bacalhau e Frutos do Mar</t>
  </si>
  <si>
    <t>Jardim das rosas n. 32</t>
  </si>
  <si>
    <t>Lisboa</t>
  </si>
  <si>
    <t>Portugal</t>
  </si>
  <si>
    <t>BONAP</t>
  </si>
  <si>
    <t>Bon app'</t>
  </si>
  <si>
    <t>12, rue des Bouchers</t>
  </si>
  <si>
    <t>Marseille</t>
  </si>
  <si>
    <t>MEREP</t>
  </si>
  <si>
    <t>Mère Paillarde</t>
  </si>
  <si>
    <t>43 rue St. Laurent</t>
  </si>
  <si>
    <t>Montréal</t>
  </si>
  <si>
    <t>Québec</t>
  </si>
  <si>
    <t>H1J 1C3</t>
  </si>
  <si>
    <t>Canadá</t>
  </si>
  <si>
    <t>PRINI</t>
  </si>
  <si>
    <t>Princesa Isabel Vinhos</t>
  </si>
  <si>
    <t>Estrada da saúde n. 58</t>
  </si>
  <si>
    <t>SIMOB</t>
  </si>
  <si>
    <t>Simons bistro</t>
  </si>
  <si>
    <t>Vinbæltet 34</t>
  </si>
  <si>
    <t>København</t>
  </si>
  <si>
    <t>Dinamarca</t>
  </si>
  <si>
    <t>FAMIA</t>
  </si>
  <si>
    <t>Familia Arquibaldo</t>
  </si>
  <si>
    <t>Rua Orós, 92</t>
  </si>
  <si>
    <t>05442-030</t>
  </si>
  <si>
    <t>LAMAI</t>
  </si>
  <si>
    <t>La maison d'Asie</t>
  </si>
  <si>
    <t>1 rue Alsace-Lorraine</t>
  </si>
  <si>
    <t>Toulouse</t>
  </si>
  <si>
    <t>PICCO</t>
  </si>
  <si>
    <t>Piccolo und mehr</t>
  </si>
  <si>
    <t>Geislweg 14</t>
  </si>
  <si>
    <t>Salzburg</t>
  </si>
  <si>
    <t>AROUT</t>
  </si>
  <si>
    <t>Around the Horn</t>
  </si>
  <si>
    <t>Brook Farm</t>
  </si>
  <si>
    <t>Stratford St. Mary"</t>
  </si>
  <si>
    <t>Colchester</t>
  </si>
  <si>
    <t>Essex</t>
  </si>
  <si>
    <t>CO7 6JX</t>
  </si>
  <si>
    <t>SEVES</t>
  </si>
  <si>
    <t>Seven Seas Imports</t>
  </si>
  <si>
    <t>90 Wadhurst Rd.</t>
  </si>
  <si>
    <t>OX15 4NB</t>
  </si>
  <si>
    <t>DRACD</t>
  </si>
  <si>
    <t>Drachenblut Delikatessen</t>
  </si>
  <si>
    <t>Walserweg 21</t>
  </si>
  <si>
    <t>Aachen</t>
  </si>
  <si>
    <t>EASTC</t>
  </si>
  <si>
    <t>Eastern Connection</t>
  </si>
  <si>
    <t>35 King George</t>
  </si>
  <si>
    <t>WX3 6FW</t>
  </si>
  <si>
    <t>ANTON</t>
  </si>
  <si>
    <t>Antonio Moreno Taquería</t>
  </si>
  <si>
    <t>Mataderos  2312</t>
  </si>
  <si>
    <t>GALED</t>
  </si>
  <si>
    <t>Galería del gastronómo</t>
  </si>
  <si>
    <t>Rambla de Cataluña, 23</t>
  </si>
  <si>
    <t>Barcelona</t>
  </si>
  <si>
    <t>VAFFE</t>
  </si>
  <si>
    <t>Vaffeljernet</t>
  </si>
  <si>
    <t>Smagsløget 45</t>
  </si>
  <si>
    <t>Århus</t>
  </si>
  <si>
    <t>QUEEN</t>
  </si>
  <si>
    <t>Queen Cozinha</t>
  </si>
  <si>
    <t>Alameda dos Canàrios, 891</t>
  </si>
  <si>
    <t>05487-020</t>
  </si>
  <si>
    <t>WOLZA</t>
  </si>
  <si>
    <t>Wolski Zajazd</t>
  </si>
  <si>
    <t>ul. Filtrowa 68</t>
  </si>
  <si>
    <t>Warszawa</t>
  </si>
  <si>
    <t>01-012</t>
  </si>
  <si>
    <t>Polônia</t>
  </si>
  <si>
    <t>HUNGC</t>
  </si>
  <si>
    <t>Hungry Coyote Import Store</t>
  </si>
  <si>
    <t>City Center Plaza</t>
  </si>
  <si>
    <t>516 Main St."</t>
  </si>
  <si>
    <t>Elgin</t>
  </si>
  <si>
    <t>SANTG</t>
  </si>
  <si>
    <t>Santé Gourmet</t>
  </si>
  <si>
    <t>Erling Skakkes gate 78</t>
  </si>
  <si>
    <t>Stavern</t>
  </si>
  <si>
    <t>Noruega</t>
  </si>
  <si>
    <t>BOTTM</t>
  </si>
  <si>
    <t>Bottom-Dollar Markets</t>
  </si>
  <si>
    <t>23 Tsawassen Blvd.</t>
  </si>
  <si>
    <t>Tsawassen</t>
  </si>
  <si>
    <t>BC</t>
  </si>
  <si>
    <t>T2F 8M4</t>
  </si>
  <si>
    <t>LINOD</t>
  </si>
  <si>
    <t>LINO-Delicateses</t>
  </si>
  <si>
    <t>Ave. 5 de Mayo Porlamar</t>
  </si>
  <si>
    <t>I. de Margarita</t>
  </si>
  <si>
    <t>Nueva Esparta</t>
  </si>
  <si>
    <t>FOLIG</t>
  </si>
  <si>
    <t>Folies gourmandes</t>
  </si>
  <si>
    <t>184, chaussée de Tournai</t>
  </si>
  <si>
    <t>Lille</t>
  </si>
  <si>
    <t>OCEAN</t>
  </si>
  <si>
    <t>Océano Atlántico Ltda.</t>
  </si>
  <si>
    <t>Ing. Gustavo Moncada 8585</t>
  </si>
  <si>
    <t>Piso 20-A"</t>
  </si>
  <si>
    <t>Buenos Aires</t>
  </si>
  <si>
    <t>Argentina</t>
  </si>
  <si>
    <t>FRANS</t>
  </si>
  <si>
    <t>Franchi S.p.A.</t>
  </si>
  <si>
    <t>Via Monte Bianco 34</t>
  </si>
  <si>
    <t>Torino</t>
  </si>
  <si>
    <t>GOURL</t>
  </si>
  <si>
    <t>Gourmet Lanchonetes</t>
  </si>
  <si>
    <t>Av. Brasil, 442</t>
  </si>
  <si>
    <t>04876-786</t>
  </si>
  <si>
    <t>CONSH</t>
  </si>
  <si>
    <t>Consolidated Holdings</t>
  </si>
  <si>
    <t>Berkeley Gardens</t>
  </si>
  <si>
    <t>12  Brewery"</t>
  </si>
  <si>
    <t>WX1 6LT</t>
  </si>
  <si>
    <t>RANCH</t>
  </si>
  <si>
    <t>Rancho grande</t>
  </si>
  <si>
    <t>Av. del Libertador 900</t>
  </si>
  <si>
    <t>LAZYK</t>
  </si>
  <si>
    <t>Lazy K Kountry Store</t>
  </si>
  <si>
    <t>12 Orchestra Terrace</t>
  </si>
  <si>
    <t>Walla Walla</t>
  </si>
  <si>
    <t>LAUGB</t>
  </si>
  <si>
    <t>Laughing Bacchus Wine Cellars</t>
  </si>
  <si>
    <t>2319 Elm St.</t>
  </si>
  <si>
    <t>Vancouver</t>
  </si>
  <si>
    <t>V3F 2K1</t>
  </si>
  <si>
    <t>BLAUS</t>
  </si>
  <si>
    <t>Blauer See Delikatessen</t>
  </si>
  <si>
    <t>Forsterstr. 57</t>
  </si>
  <si>
    <t>Mannheim</t>
  </si>
  <si>
    <t>NORTS</t>
  </si>
  <si>
    <t>North/South</t>
  </si>
  <si>
    <t>South House</t>
  </si>
  <si>
    <t>300 Queensbridge"</t>
  </si>
  <si>
    <t>SW7 1RZ</t>
  </si>
  <si>
    <t>CACTU</t>
  </si>
  <si>
    <t>Cactus Comidas para llevar</t>
  </si>
  <si>
    <t>Cerrito 333</t>
  </si>
  <si>
    <t>GREAL</t>
  </si>
  <si>
    <t>Great Lakes Food Market</t>
  </si>
  <si>
    <t>2732 Baker Blvd.</t>
  </si>
  <si>
    <t>Eugene</t>
  </si>
  <si>
    <t>MAISD</t>
  </si>
  <si>
    <t>Maison Dewey</t>
  </si>
  <si>
    <t>Rue Joseph-Bens 532</t>
  </si>
  <si>
    <t>Bruxelles</t>
  </si>
  <si>
    <t>B-1180</t>
  </si>
  <si>
    <t>TRAIH</t>
  </si>
  <si>
    <t>Trail's Head Gourmet Provisioners</t>
  </si>
  <si>
    <t>722 DaVinci Blvd.</t>
  </si>
  <si>
    <t>Kirkland</t>
  </si>
  <si>
    <t>LETSS</t>
  </si>
  <si>
    <t>Let's Stop N Shop</t>
  </si>
  <si>
    <t>87 Polk St.</t>
  </si>
  <si>
    <t>Suite 5"</t>
  </si>
  <si>
    <t>San Francisco</t>
  </si>
  <si>
    <t>CA</t>
  </si>
  <si>
    <t>WILMK</t>
  </si>
  <si>
    <t>Wilman Kala</t>
  </si>
  <si>
    <t>Keskuskatu 45</t>
  </si>
  <si>
    <t>Helsinki</t>
  </si>
  <si>
    <t>THECR</t>
  </si>
  <si>
    <t>The Cracker Box</t>
  </si>
  <si>
    <t>55 Grizzly Peak Rd.</t>
  </si>
  <si>
    <t>Butte</t>
  </si>
  <si>
    <t>MT</t>
  </si>
  <si>
    <t>ALFKI</t>
  </si>
  <si>
    <t>Alfreds Futterkiste</t>
  </si>
  <si>
    <t>Obere Str. 57</t>
  </si>
  <si>
    <t>Berlin</t>
  </si>
  <si>
    <t>FRANR</t>
  </si>
  <si>
    <t>France restauration</t>
  </si>
  <si>
    <t>54, rue Royale</t>
  </si>
  <si>
    <t>SPECD</t>
  </si>
  <si>
    <t>Spécialités du monde</t>
  </si>
  <si>
    <t>25, rue Lauriston</t>
  </si>
  <si>
    <t>Paris</t>
  </si>
  <si>
    <t>LACOR</t>
  </si>
  <si>
    <t>La corne d'abondance</t>
  </si>
  <si>
    <t>67, avenue de l'Europe</t>
  </si>
  <si>
    <t>Versailles</t>
  </si>
  <si>
    <t>CodigoDaCategoria</t>
  </si>
  <si>
    <t>CodigoDoProduto</t>
  </si>
  <si>
    <t>NomeDoProduto</t>
  </si>
  <si>
    <t>CodigoDoFornecedor</t>
  </si>
  <si>
    <t>QuantidadePorUnidade</t>
  </si>
  <si>
    <t>PrecoUnitario</t>
  </si>
  <si>
    <t>UnidadesEmEstoque</t>
  </si>
  <si>
    <t>UnidadesPedidas</t>
  </si>
  <si>
    <t>NivelDeReposicao</t>
  </si>
  <si>
    <t>Descontinuado</t>
  </si>
  <si>
    <t>Chai</t>
  </si>
  <si>
    <t>10 caixas x 20 pacotes</t>
  </si>
  <si>
    <t>Chang</t>
  </si>
  <si>
    <t>24 garrafas de 12oz</t>
  </si>
  <si>
    <t>Aniseed Syrup</t>
  </si>
  <si>
    <t>12 garrafas de 550ml</t>
  </si>
  <si>
    <t>Chef Anton's Cajun Seasoning</t>
  </si>
  <si>
    <t>48 vidros de 6oz</t>
  </si>
  <si>
    <t>Chef Anton's Gumbo Mix</t>
  </si>
  <si>
    <t>36 caixas</t>
  </si>
  <si>
    <t>Grandma's Boysenberry Spread</t>
  </si>
  <si>
    <t>12 vidros de 8oz</t>
  </si>
  <si>
    <t>Uncle Bob's Organic Dried Pears</t>
  </si>
  <si>
    <t>12 pacotes de 1lb</t>
  </si>
  <si>
    <t>Northwoods Cranberry Sauce</t>
  </si>
  <si>
    <t>12 vidros de 12oz</t>
  </si>
  <si>
    <t>Mishi Kobe Niku</t>
  </si>
  <si>
    <t>18 pacotes de 500g</t>
  </si>
  <si>
    <t>Ikura</t>
  </si>
  <si>
    <t>12 vidros de 200ml</t>
  </si>
  <si>
    <t>Queso Cabrales</t>
  </si>
  <si>
    <t>pacote de 1kg</t>
  </si>
  <si>
    <t>Queso Manchego La Pastora</t>
  </si>
  <si>
    <t>10 pacotes de 500g</t>
  </si>
  <si>
    <t>Konbu</t>
  </si>
  <si>
    <t>caixa de 2kg</t>
  </si>
  <si>
    <t>Tofu</t>
  </si>
  <si>
    <t>40 pacotes de 100g</t>
  </si>
  <si>
    <t>Genen Shouyu</t>
  </si>
  <si>
    <t>24 garrafas de 250ml</t>
  </si>
  <si>
    <t>Pavlova</t>
  </si>
  <si>
    <t>32 caixas de 500g</t>
  </si>
  <si>
    <t>Alice Mutton</t>
  </si>
  <si>
    <t>20 latas de 1kg</t>
  </si>
  <si>
    <t>Carnarvon Tigers</t>
  </si>
  <si>
    <t>pacote de 16kg</t>
  </si>
  <si>
    <t>Teatime Chocolate Biscuits</t>
  </si>
  <si>
    <t>10 caixas x 12 unidades</t>
  </si>
  <si>
    <t>Sir Rodney's Marmalade</t>
  </si>
  <si>
    <t>30 caixas para presente</t>
  </si>
  <si>
    <t>Sir Rodney's Scones</t>
  </si>
  <si>
    <t>24 pacotes x 4 unidades</t>
  </si>
  <si>
    <t>Gustaf's Knäckebröd</t>
  </si>
  <si>
    <t>24 pacotes de 500g</t>
  </si>
  <si>
    <t>Tunnbröd</t>
  </si>
  <si>
    <t>12 pacotes de 250g</t>
  </si>
  <si>
    <t>Guaraná Fantástica</t>
  </si>
  <si>
    <t>12 latas de 355ml</t>
  </si>
  <si>
    <t>NuNuCa Nuß-Nougat-Creme</t>
  </si>
  <si>
    <t>20 vidros de 450g</t>
  </si>
  <si>
    <t>Gumbär Gummibärchen</t>
  </si>
  <si>
    <t>100 sacos de 250g</t>
  </si>
  <si>
    <t>Schoggi Schokolade</t>
  </si>
  <si>
    <t>100 unidades de 100g</t>
  </si>
  <si>
    <t>Rössle Sauerkraut</t>
  </si>
  <si>
    <t>25 latas de 825g</t>
  </si>
  <si>
    <t>Thüringer Rostbratwurst</t>
  </si>
  <si>
    <t>50 pacotes x 30 salsichas</t>
  </si>
  <si>
    <t>Nord-Ost Matjeshering</t>
  </si>
  <si>
    <t>10 vidros de 200g</t>
  </si>
  <si>
    <t>Gorgonzola Telino</t>
  </si>
  <si>
    <t>12 pacotes de 100g</t>
  </si>
  <si>
    <t>Mascarpone Fabioli</t>
  </si>
  <si>
    <t>24 pacotes de 200g</t>
  </si>
  <si>
    <t>Geitost</t>
  </si>
  <si>
    <t>500g</t>
  </si>
  <si>
    <t>Sasquatch Ale</t>
  </si>
  <si>
    <t>Steeleye Stout</t>
  </si>
  <si>
    <t>Inlagd Sill</t>
  </si>
  <si>
    <t>24 vidros de 250g</t>
  </si>
  <si>
    <t>Gravad lax</t>
  </si>
  <si>
    <t>12 pacotes de 500g</t>
  </si>
  <si>
    <t>Côte de Blaye</t>
  </si>
  <si>
    <t>12 garrafas de 75cl</t>
  </si>
  <si>
    <t>Chartreuse verte</t>
  </si>
  <si>
    <t>750cc por garrafa</t>
  </si>
  <si>
    <t>Boston Crab Meat</t>
  </si>
  <si>
    <t>24 latas de 4oz</t>
  </si>
  <si>
    <t>Jack's New England Clam Chowder</t>
  </si>
  <si>
    <t>12 latas de 12oz</t>
  </si>
  <si>
    <t>Singaporean Hokkien Fried Mee</t>
  </si>
  <si>
    <t>32 pacotes de 1kg</t>
  </si>
  <si>
    <t>Ipoh Coffee</t>
  </si>
  <si>
    <t>16 latas de 500g</t>
  </si>
  <si>
    <t>Gula Malacca</t>
  </si>
  <si>
    <t>20 sacos de 2kg</t>
  </si>
  <si>
    <t>Røgede sild</t>
  </si>
  <si>
    <t>Spegesild</t>
  </si>
  <si>
    <t>4 vidros de 450g</t>
  </si>
  <si>
    <t>Zaanse koeken</t>
  </si>
  <si>
    <t>10 caixas de 4oz</t>
  </si>
  <si>
    <t>Chocolade</t>
  </si>
  <si>
    <t>10 pacotes</t>
  </si>
  <si>
    <t>Maxilaku</t>
  </si>
  <si>
    <t>24 pacotes de 50g</t>
  </si>
  <si>
    <t>Valkoinen suklaa</t>
  </si>
  <si>
    <t>12 barras de 100g</t>
  </si>
  <si>
    <t>Manjimup Dried Apples</t>
  </si>
  <si>
    <t>50 pacotes de 300g</t>
  </si>
  <si>
    <t>Filo Mix</t>
  </si>
  <si>
    <t>16 caixas de 2kg</t>
  </si>
  <si>
    <t>Perth Pasties</t>
  </si>
  <si>
    <t>48 unidades</t>
  </si>
  <si>
    <t>Tourtière</t>
  </si>
  <si>
    <t>16 unidades</t>
  </si>
  <si>
    <t>Pâté chinois</t>
  </si>
  <si>
    <t>24 caixas x 2 unidades</t>
  </si>
  <si>
    <t>Gnocchi di nonna Alice</t>
  </si>
  <si>
    <t>24 pacotes de 250g</t>
  </si>
  <si>
    <t>Ravioli Angelo</t>
  </si>
  <si>
    <t>Escargots de Bourgogne</t>
  </si>
  <si>
    <t>24 unidades</t>
  </si>
  <si>
    <t>Raclette Courdavault</t>
  </si>
  <si>
    <t>pacote de 5kg</t>
  </si>
  <si>
    <t>Camembert Pierrot</t>
  </si>
  <si>
    <t>15 unidades de 300g</t>
  </si>
  <si>
    <t>Sirop d'érable</t>
  </si>
  <si>
    <t>24 garrafas de 500ml</t>
  </si>
  <si>
    <t>Tarte au sucre</t>
  </si>
  <si>
    <t>Vegie-spread</t>
  </si>
  <si>
    <t>15 vidros de 625g</t>
  </si>
  <si>
    <t>Wimmers gute Semmelknödel</t>
  </si>
  <si>
    <t>20 sacos x 4 unidades</t>
  </si>
  <si>
    <t>Louisiana Fiery Hot Pepper Sauce</t>
  </si>
  <si>
    <t>32 garrafas de 8oz</t>
  </si>
  <si>
    <t>Louisiana Hot Spiced Okra</t>
  </si>
  <si>
    <t>24 vidros de 8oz</t>
  </si>
  <si>
    <t>Laughing Lumberjack Lager</t>
  </si>
  <si>
    <t>Scottish Longbreads</t>
  </si>
  <si>
    <t>10 caixas x 8 unidades</t>
  </si>
  <si>
    <t>Gudbrandsdalsost</t>
  </si>
  <si>
    <t>pacote de 10kg</t>
  </si>
  <si>
    <t>Outback Lager</t>
  </si>
  <si>
    <t>24 garrafas de 355ml</t>
  </si>
  <si>
    <t>Fløtemysost</t>
  </si>
  <si>
    <t>Mozzarella di Giovanni</t>
  </si>
  <si>
    <t>Röd Kaviar</t>
  </si>
  <si>
    <t>24 vidros de 150g</t>
  </si>
  <si>
    <t>Longlife Tofu</t>
  </si>
  <si>
    <t>Rhönbräu Klosterbier</t>
  </si>
  <si>
    <t>Lakkalikööri</t>
  </si>
  <si>
    <t>500ml</t>
  </si>
  <si>
    <t>Original Frankfurter grüne Soße</t>
  </si>
  <si>
    <t>12 caixas</t>
  </si>
  <si>
    <t>$D$3</t>
  </si>
  <si>
    <t>$D$4</t>
  </si>
  <si>
    <t>$D$5</t>
  </si>
  <si>
    <t>$D$6</t>
  </si>
  <si>
    <t>$D$7</t>
  </si>
  <si>
    <t>$D$8</t>
  </si>
  <si>
    <t>$J$3</t>
  </si>
  <si>
    <t>$J$4</t>
  </si>
  <si>
    <t>Criado por Autor em 10/08/2020
Alterado por Usuario em 10/08/2020</t>
  </si>
  <si>
    <t>Criado por Autor em 10/08/2020</t>
  </si>
  <si>
    <t>Resumo do cenário</t>
  </si>
  <si>
    <t>Células variáveis:</t>
  </si>
  <si>
    <t>Valores atuais:</t>
  </si>
  <si>
    <t>Células de resultado:</t>
  </si>
  <si>
    <t>Observações: A coluna Valores atuais representa os valores das células</t>
  </si>
  <si>
    <t>variáveis no momento em que o Relatório de Resumo do Cenário foi criado.</t>
  </si>
  <si>
    <t>As células variáveis para cada cenário estão destacadas em cinza.</t>
  </si>
  <si>
    <t>$D$3:$D$8;$J$3;$J$4 por</t>
  </si>
  <si>
    <t>Excel 2020</t>
  </si>
  <si>
    <t>*Essence*</t>
  </si>
  <si>
    <t>*GLS*</t>
  </si>
  <si>
    <t xml:space="preserve">Mouse Wireless </t>
  </si>
  <si>
    <t>Monitor Led</t>
  </si>
  <si>
    <t>Hd Externo</t>
  </si>
</sst>
</file>

<file path=xl/styles.xml><?xml version="1.0" encoding="utf-8"?>
<styleSheet xmlns="http://schemas.openxmlformats.org/spreadsheetml/2006/main">
  <numFmts count="7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-[$$-409]* #,##0.00_ ;_-[$$-409]* \-#,##0.00\ ;_-[$$-409]* &quot;-&quot;??_ ;_-@_ "/>
    <numFmt numFmtId="166" formatCode="_(* #,##0.00_);_(* \(#,##0.00\);_(* &quot;-&quot;??_);_(@_)"/>
    <numFmt numFmtId="167" formatCode="_-[$R$-416]\ * #,##0.00_-;\-[$R$-416]\ * #,##0.00_-;_-[$R$-416]\ * &quot;-&quot;??_-;_-@_-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Arial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Calibri"/>
      <family val="2"/>
    </font>
    <font>
      <b/>
      <sz val="11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10"/>
      <name val="Calibri"/>
      <family val="2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9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8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</cellStyleXfs>
  <cellXfs count="28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44" fontId="0" fillId="0" borderId="7" xfId="3" applyFont="1" applyBorder="1" applyAlignment="1">
      <alignment horizontal="center"/>
    </xf>
    <xf numFmtId="44" fontId="0" fillId="0" borderId="5" xfId="3" applyFont="1" applyBorder="1" applyAlignment="1">
      <alignment horizontal="center"/>
    </xf>
    <xf numFmtId="44" fontId="0" fillId="0" borderId="10" xfId="0" applyNumberFormat="1" applyBorder="1"/>
    <xf numFmtId="0" fontId="7" fillId="7" borderId="27" xfId="0" applyFont="1" applyFill="1" applyBorder="1" applyAlignment="1">
      <alignment horizontal="center"/>
    </xf>
    <xf numFmtId="0" fontId="7" fillId="1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3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11" fillId="0" borderId="0" xfId="44" applyFont="1" applyAlignment="1">
      <alignment horizontal="center"/>
    </xf>
    <xf numFmtId="0" fontId="9" fillId="18" borderId="1" xfId="44" applyFont="1" applyFill="1" applyBorder="1" applyAlignment="1">
      <alignment horizontal="center"/>
    </xf>
    <xf numFmtId="0" fontId="11" fillId="0" borderId="1" xfId="44" applyFont="1" applyBorder="1" applyAlignment="1">
      <alignment horizontal="center"/>
    </xf>
    <xf numFmtId="1" fontId="11" fillId="0" borderId="1" xfId="44" applyNumberFormat="1" applyFont="1" applyBorder="1" applyAlignment="1">
      <alignment horizontal="center"/>
    </xf>
    <xf numFmtId="0" fontId="0" fillId="0" borderId="0" xfId="0" applyFont="1"/>
    <xf numFmtId="0" fontId="4" fillId="19" borderId="1" xfId="0" applyFont="1" applyFill="1" applyBorder="1" applyAlignment="1">
      <alignment horizontal="center"/>
    </xf>
    <xf numFmtId="44" fontId="0" fillId="0" borderId="1" xfId="3" applyFont="1" applyBorder="1" applyAlignment="1">
      <alignment horizontal="center"/>
    </xf>
    <xf numFmtId="0" fontId="7" fillId="20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4" fillId="12" borderId="17" xfId="0" applyFont="1" applyFill="1" applyBorder="1" applyAlignment="1">
      <alignment horizontal="center" vertical="center"/>
    </xf>
    <xf numFmtId="0" fontId="4" fillId="21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7" fillId="7" borderId="0" xfId="0" applyFont="1" applyFill="1"/>
    <xf numFmtId="0" fontId="6" fillId="0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10" fontId="0" fillId="0" borderId="1" xfId="0" applyNumberFormat="1" applyBorder="1" applyAlignment="1">
      <alignment horizontal="center"/>
    </xf>
    <xf numFmtId="8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7" fillId="13" borderId="1" xfId="0" applyFont="1" applyFill="1" applyBorder="1" applyAlignment="1">
      <alignment horizontal="center"/>
    </xf>
    <xf numFmtId="44" fontId="0" fillId="0" borderId="0" xfId="3" applyFont="1" applyAlignment="1">
      <alignment horizontal="center"/>
    </xf>
    <xf numFmtId="44" fontId="4" fillId="0" borderId="0" xfId="3" applyFont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44" fontId="0" fillId="0" borderId="28" xfId="3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4" fontId="7" fillId="7" borderId="10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4" fillId="0" borderId="0" xfId="0" applyFont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17" fillId="0" borderId="0" xfId="0" applyFont="1"/>
    <xf numFmtId="43" fontId="15" fillId="0" borderId="1" xfId="47" applyFont="1" applyBorder="1" applyAlignment="1">
      <alignment horizontal="center"/>
    </xf>
    <xf numFmtId="0" fontId="10" fillId="3" borderId="1" xfId="4" applyFont="1" applyFill="1" applyBorder="1" applyAlignment="1">
      <alignment horizontal="center" vertical="center"/>
    </xf>
    <xf numFmtId="0" fontId="10" fillId="3" borderId="1" xfId="4" applyFont="1" applyFill="1" applyBorder="1" applyAlignment="1">
      <alignment horizontal="center" vertical="center" wrapText="1"/>
    </xf>
    <xf numFmtId="0" fontId="15" fillId="3" borderId="1" xfId="4" applyFont="1" applyFill="1" applyBorder="1" applyAlignment="1">
      <alignment horizontal="left"/>
    </xf>
    <xf numFmtId="0" fontId="15" fillId="0" borderId="1" xfId="5" applyNumberFormat="1" applyFont="1" applyBorder="1" applyAlignment="1">
      <alignment horizontal="center"/>
    </xf>
    <xf numFmtId="0" fontId="7" fillId="7" borderId="3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left"/>
    </xf>
    <xf numFmtId="0" fontId="7" fillId="6" borderId="6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left"/>
    </xf>
    <xf numFmtId="43" fontId="0" fillId="0" borderId="7" xfId="47" applyFont="1" applyBorder="1" applyAlignment="1">
      <alignment horizontal="center"/>
    </xf>
    <xf numFmtId="43" fontId="0" fillId="0" borderId="10" xfId="47" applyFont="1" applyBorder="1" applyAlignment="1">
      <alignment horizontal="center"/>
    </xf>
    <xf numFmtId="43" fontId="0" fillId="0" borderId="28" xfId="47" applyFont="1" applyBorder="1"/>
    <xf numFmtId="0" fontId="4" fillId="3" borderId="6" xfId="0" applyFont="1" applyFill="1" applyBorder="1" applyAlignment="1">
      <alignment horizontal="left"/>
    </xf>
    <xf numFmtId="0" fontId="4" fillId="3" borderId="1" xfId="0" applyFont="1" applyFill="1" applyBorder="1" applyAlignment="1"/>
    <xf numFmtId="43" fontId="0" fillId="0" borderId="1" xfId="47" applyFont="1" applyBorder="1" applyAlignment="1">
      <alignment horizontal="center"/>
    </xf>
    <xf numFmtId="0" fontId="19" fillId="7" borderId="1" xfId="25" applyFont="1" applyFill="1" applyBorder="1" applyAlignment="1">
      <alignment horizontal="center"/>
    </xf>
    <xf numFmtId="0" fontId="15" fillId="4" borderId="1" xfId="25" applyFont="1" applyFill="1" applyBorder="1" applyAlignment="1">
      <alignment horizontal="left"/>
    </xf>
    <xf numFmtId="0" fontId="15" fillId="4" borderId="1" xfId="25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9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9" fillId="7" borderId="1" xfId="25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19" fillId="9" borderId="1" xfId="0" applyFont="1" applyFill="1" applyBorder="1" applyAlignment="1">
      <alignment horizontal="left"/>
    </xf>
    <xf numFmtId="0" fontId="17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3" applyNumberFormat="1" applyFont="1" applyBorder="1" applyAlignment="1">
      <alignment horizontal="right"/>
    </xf>
    <xf numFmtId="0" fontId="7" fillId="6" borderId="1" xfId="0" applyFont="1" applyFill="1" applyBorder="1" applyAlignment="1">
      <alignment horizontal="center" vertical="center" wrapText="1"/>
    </xf>
    <xf numFmtId="14" fontId="9" fillId="18" borderId="1" xfId="44" applyNumberFormat="1" applyFont="1" applyFill="1" applyBorder="1" applyAlignment="1">
      <alignment horizontal="left"/>
    </xf>
    <xf numFmtId="0" fontId="11" fillId="0" borderId="0" xfId="44" applyFont="1" applyAlignment="1">
      <alignment horizontal="left"/>
    </xf>
    <xf numFmtId="0" fontId="9" fillId="18" borderId="1" xfId="44" applyFont="1" applyFill="1" applyBorder="1" applyAlignment="1">
      <alignment horizontal="left"/>
    </xf>
    <xf numFmtId="0" fontId="11" fillId="0" borderId="1" xfId="44" applyFont="1" applyBorder="1" applyAlignment="1">
      <alignment horizontal="left"/>
    </xf>
    <xf numFmtId="14" fontId="10" fillId="0" borderId="1" xfId="44" applyNumberFormat="1" applyFont="1" applyFill="1" applyBorder="1" applyAlignment="1">
      <alignment horizontal="right"/>
    </xf>
    <xf numFmtId="0" fontId="11" fillId="0" borderId="0" xfId="44" applyFont="1" applyAlignment="1">
      <alignment horizontal="right"/>
    </xf>
    <xf numFmtId="0" fontId="11" fillId="0" borderId="1" xfId="44" applyFont="1" applyBorder="1" applyAlignment="1">
      <alignment horizontal="right"/>
    </xf>
    <xf numFmtId="0" fontId="9" fillId="18" borderId="1" xfId="44" applyFont="1" applyFill="1" applyBorder="1" applyAlignment="1">
      <alignment horizontal="right"/>
    </xf>
    <xf numFmtId="14" fontId="11" fillId="0" borderId="1" xfId="44" applyNumberFormat="1" applyFont="1" applyBorder="1" applyAlignment="1">
      <alignment horizontal="right"/>
    </xf>
    <xf numFmtId="44" fontId="11" fillId="0" borderId="1" xfId="3" applyFont="1" applyBorder="1" applyAlignment="1"/>
    <xf numFmtId="0" fontId="7" fillId="7" borderId="30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left" vertical="center"/>
    </xf>
    <xf numFmtId="0" fontId="12" fillId="0" borderId="16" xfId="0" applyFont="1" applyBorder="1" applyAlignment="1">
      <alignment horizontal="left" vertical="center"/>
    </xf>
    <xf numFmtId="0" fontId="16" fillId="22" borderId="31" xfId="0" applyFont="1" applyFill="1" applyBorder="1" applyAlignment="1">
      <alignment horizontal="left" vertical="center"/>
    </xf>
    <xf numFmtId="0" fontId="7" fillId="9" borderId="30" xfId="0" applyFont="1" applyFill="1" applyBorder="1" applyAlignment="1">
      <alignment horizontal="left" vertical="top"/>
    </xf>
    <xf numFmtId="0" fontId="12" fillId="0" borderId="2" xfId="0" applyFont="1" applyBorder="1" applyAlignment="1">
      <alignment horizontal="left" vertical="top"/>
    </xf>
    <xf numFmtId="0" fontId="7" fillId="9" borderId="31" xfId="0" applyFont="1" applyFill="1" applyBorder="1" applyAlignment="1">
      <alignment horizontal="left" vertical="center"/>
    </xf>
    <xf numFmtId="0" fontId="12" fillId="0" borderId="16" xfId="0" applyFont="1" applyBorder="1" applyAlignment="1">
      <alignment horizontal="left" vertical="top"/>
    </xf>
    <xf numFmtId="0" fontId="7" fillId="9" borderId="31" xfId="0" applyFont="1" applyFill="1" applyBorder="1" applyAlignment="1">
      <alignment horizontal="left" vertical="top"/>
    </xf>
    <xf numFmtId="44" fontId="0" fillId="0" borderId="1" xfId="3" applyFont="1" applyBorder="1" applyAlignment="1">
      <alignment horizontal="right"/>
    </xf>
    <xf numFmtId="0" fontId="4" fillId="19" borderId="1" xfId="0" applyFont="1" applyFill="1" applyBorder="1" applyAlignment="1">
      <alignment horizontal="right"/>
    </xf>
    <xf numFmtId="0" fontId="7" fillId="20" borderId="1" xfId="0" applyFont="1" applyFill="1" applyBorder="1" applyAlignment="1">
      <alignment horizontal="left"/>
    </xf>
    <xf numFmtId="0" fontId="6" fillId="14" borderId="1" xfId="0" applyFont="1" applyFill="1" applyBorder="1" applyAlignment="1">
      <alignment horizontal="left"/>
    </xf>
    <xf numFmtId="0" fontId="7" fillId="20" borderId="21" xfId="0" applyFont="1" applyFill="1" applyBorder="1" applyAlignment="1">
      <alignment horizontal="left"/>
    </xf>
    <xf numFmtId="0" fontId="4" fillId="12" borderId="17" xfId="0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left"/>
    </xf>
    <xf numFmtId="10" fontId="0" fillId="0" borderId="1" xfId="0" applyNumberFormat="1" applyBorder="1" applyAlignment="1">
      <alignment horizontal="right"/>
    </xf>
    <xf numFmtId="0" fontId="7" fillId="10" borderId="32" xfId="0" applyFont="1" applyFill="1" applyBorder="1" applyAlignment="1">
      <alignment horizontal="left"/>
    </xf>
    <xf numFmtId="167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right"/>
    </xf>
    <xf numFmtId="8" fontId="0" fillId="0" borderId="1" xfId="3" applyNumberFormat="1" applyFont="1" applyBorder="1" applyAlignment="1">
      <alignment horizontal="right"/>
    </xf>
    <xf numFmtId="0" fontId="10" fillId="15" borderId="1" xfId="1" applyFont="1" applyFill="1" applyBorder="1" applyAlignment="1">
      <alignment horizontal="left" vertical="center" wrapText="1"/>
    </xf>
    <xf numFmtId="0" fontId="10" fillId="15" borderId="1" xfId="1" applyFont="1" applyFill="1" applyBorder="1" applyAlignment="1">
      <alignment horizontal="center" vertical="center" wrapText="1"/>
    </xf>
    <xf numFmtId="0" fontId="18" fillId="0" borderId="0" xfId="1" applyFont="1"/>
    <xf numFmtId="0" fontId="19" fillId="2" borderId="1" xfId="1" applyFont="1" applyFill="1" applyBorder="1" applyAlignment="1">
      <alignment horizontal="left"/>
    </xf>
    <xf numFmtId="165" fontId="18" fillId="4" borderId="1" xfId="1" applyNumberFormat="1" applyFont="1" applyFill="1" applyBorder="1" applyAlignment="1">
      <alignment horizontal="right"/>
    </xf>
    <xf numFmtId="0" fontId="18" fillId="0" borderId="1" xfId="1" applyFont="1" applyBorder="1" applyAlignment="1">
      <alignment horizontal="right"/>
    </xf>
    <xf numFmtId="0" fontId="15" fillId="15" borderId="1" xfId="1" applyFont="1" applyFill="1" applyBorder="1" applyAlignment="1">
      <alignment horizontal="left"/>
    </xf>
    <xf numFmtId="0" fontId="15" fillId="0" borderId="1" xfId="2" applyNumberFormat="1" applyFont="1" applyBorder="1" applyAlignment="1">
      <alignment horizontal="center"/>
    </xf>
    <xf numFmtId="165" fontId="15" fillId="0" borderId="1" xfId="2" applyNumberFormat="1" applyFont="1" applyFill="1" applyBorder="1" applyAlignment="1">
      <alignment horizontal="right"/>
    </xf>
    <xf numFmtId="165" fontId="15" fillId="0" borderId="1" xfId="1" applyNumberFormat="1" applyFont="1" applyBorder="1" applyAlignment="1">
      <alignment horizontal="right"/>
    </xf>
    <xf numFmtId="0" fontId="15" fillId="15" borderId="1" xfId="1" applyFont="1" applyFill="1" applyBorder="1" applyAlignment="1" applyProtection="1">
      <alignment horizontal="left"/>
      <protection locked="0"/>
    </xf>
    <xf numFmtId="0" fontId="18" fillId="0" borderId="0" xfId="1" applyFont="1" applyBorder="1" applyAlignment="1">
      <alignment vertical="center"/>
    </xf>
    <xf numFmtId="0" fontId="17" fillId="0" borderId="0" xfId="0" applyFont="1" applyAlignment="1">
      <alignment horizontal="right"/>
    </xf>
    <xf numFmtId="43" fontId="15" fillId="0" borderId="1" xfId="47" applyFont="1" applyBorder="1" applyAlignment="1">
      <alignment horizontal="right"/>
    </xf>
    <xf numFmtId="0" fontId="10" fillId="5" borderId="3" xfId="7" applyFont="1" applyFill="1" applyBorder="1" applyAlignment="1">
      <alignment horizontal="right"/>
    </xf>
    <xf numFmtId="0" fontId="10" fillId="5" borderId="4" xfId="7" applyFont="1" applyFill="1" applyBorder="1" applyAlignment="1">
      <alignment horizontal="left"/>
    </xf>
    <xf numFmtId="0" fontId="15" fillId="0" borderId="6" xfId="7" applyFont="1" applyBorder="1" applyAlignment="1">
      <alignment horizontal="right"/>
    </xf>
    <xf numFmtId="0" fontId="15" fillId="0" borderId="1" xfId="7" applyFont="1" applyBorder="1" applyAlignment="1">
      <alignment horizontal="left"/>
    </xf>
    <xf numFmtId="0" fontId="15" fillId="0" borderId="8" xfId="7" applyFont="1" applyBorder="1" applyAlignment="1">
      <alignment horizontal="right"/>
    </xf>
    <xf numFmtId="0" fontId="15" fillId="0" borderId="9" xfId="7" applyFont="1" applyBorder="1" applyAlignment="1">
      <alignment horizontal="left"/>
    </xf>
    <xf numFmtId="43" fontId="15" fillId="0" borderId="7" xfId="47" applyFont="1" applyBorder="1" applyAlignment="1">
      <alignment horizontal="right"/>
    </xf>
    <xf numFmtId="43" fontId="15" fillId="0" borderId="10" xfId="47" applyFont="1" applyBorder="1" applyAlignment="1">
      <alignment horizontal="right"/>
    </xf>
    <xf numFmtId="43" fontId="17" fillId="0" borderId="0" xfId="47" applyFont="1" applyAlignment="1">
      <alignment horizontal="right"/>
    </xf>
    <xf numFmtId="0" fontId="10" fillId="5" borderId="4" xfId="7" applyFont="1" applyFill="1" applyBorder="1" applyAlignment="1">
      <alignment horizontal="center"/>
    </xf>
    <xf numFmtId="43" fontId="10" fillId="5" borderId="5" xfId="47" applyFont="1" applyFill="1" applyBorder="1" applyAlignment="1">
      <alignment horizontal="center"/>
    </xf>
    <xf numFmtId="43" fontId="15" fillId="0" borderId="7" xfId="47" applyFont="1" applyBorder="1" applyAlignment="1">
      <alignment horizontal="center"/>
    </xf>
    <xf numFmtId="43" fontId="15" fillId="0" borderId="10" xfId="47" applyFont="1" applyBorder="1" applyAlignment="1">
      <alignment horizontal="center"/>
    </xf>
    <xf numFmtId="43" fontId="17" fillId="0" borderId="0" xfId="47" applyFont="1"/>
    <xf numFmtId="0" fontId="19" fillId="6" borderId="3" xfId="10" applyFont="1" applyFill="1" applyBorder="1" applyAlignment="1">
      <alignment horizontal="left" vertical="center"/>
    </xf>
    <xf numFmtId="0" fontId="19" fillId="6" borderId="4" xfId="10" applyFont="1" applyFill="1" applyBorder="1" applyAlignment="1">
      <alignment horizontal="left" vertical="center"/>
    </xf>
    <xf numFmtId="0" fontId="19" fillId="6" borderId="4" xfId="10" applyNumberFormat="1" applyFont="1" applyFill="1" applyBorder="1" applyAlignment="1">
      <alignment horizontal="right" vertical="center"/>
    </xf>
    <xf numFmtId="0" fontId="19" fillId="6" borderId="5" xfId="10" applyFont="1" applyFill="1" applyBorder="1" applyAlignment="1">
      <alignment horizontal="left" vertical="center"/>
    </xf>
    <xf numFmtId="0" fontId="17" fillId="0" borderId="6" xfId="0" applyFont="1" applyBorder="1" applyAlignment="1">
      <alignment horizontal="left"/>
    </xf>
    <xf numFmtId="0" fontId="15" fillId="0" borderId="1" xfId="10" applyFont="1" applyBorder="1" applyAlignment="1">
      <alignment horizontal="left"/>
    </xf>
    <xf numFmtId="0" fontId="17" fillId="0" borderId="1" xfId="0" applyFont="1" applyBorder="1" applyAlignment="1">
      <alignment horizontal="right"/>
    </xf>
    <xf numFmtId="0" fontId="17" fillId="0" borderId="7" xfId="0" applyFont="1" applyBorder="1" applyAlignment="1">
      <alignment horizontal="left"/>
    </xf>
    <xf numFmtId="0" fontId="17" fillId="0" borderId="8" xfId="0" applyFont="1" applyBorder="1" applyAlignment="1">
      <alignment horizontal="left"/>
    </xf>
    <xf numFmtId="0" fontId="17" fillId="0" borderId="9" xfId="0" applyFont="1" applyBorder="1" applyAlignment="1">
      <alignment horizontal="left"/>
    </xf>
    <xf numFmtId="0" fontId="17" fillId="0" borderId="9" xfId="0" applyFont="1" applyBorder="1" applyAlignment="1">
      <alignment horizontal="right"/>
    </xf>
    <xf numFmtId="0" fontId="17" fillId="0" borderId="10" xfId="0" applyFont="1" applyBorder="1" applyAlignment="1">
      <alignment horizontal="left"/>
    </xf>
    <xf numFmtId="0" fontId="19" fillId="7" borderId="1" xfId="10" applyFont="1" applyFill="1" applyBorder="1" applyAlignment="1">
      <alignment horizontal="left" vertical="center"/>
    </xf>
    <xf numFmtId="0" fontId="19" fillId="7" borderId="1" xfId="10" applyNumberFormat="1" applyFont="1" applyFill="1" applyBorder="1" applyAlignment="1">
      <alignment horizontal="right" vertical="center"/>
    </xf>
    <xf numFmtId="44" fontId="15" fillId="0" borderId="1" xfId="3" applyFont="1" applyBorder="1" applyAlignment="1">
      <alignment horizontal="right"/>
    </xf>
    <xf numFmtId="0" fontId="15" fillId="0" borderId="1" xfId="10" applyFont="1" applyFill="1" applyBorder="1" applyAlignment="1">
      <alignment horizontal="left"/>
    </xf>
    <xf numFmtId="0" fontId="10" fillId="0" borderId="3" xfId="25" applyFont="1" applyBorder="1" applyAlignment="1">
      <alignment horizontal="left"/>
    </xf>
    <xf numFmtId="0" fontId="10" fillId="0" borderId="4" xfId="25" applyFont="1" applyBorder="1" applyAlignment="1">
      <alignment horizontal="left"/>
    </xf>
    <xf numFmtId="0" fontId="10" fillId="0" borderId="4" xfId="25" applyFont="1" applyBorder="1" applyAlignment="1">
      <alignment horizontal="center"/>
    </xf>
    <xf numFmtId="0" fontId="10" fillId="0" borderId="5" xfId="25" applyFont="1" applyFill="1" applyBorder="1" applyAlignment="1">
      <alignment horizontal="center"/>
    </xf>
    <xf numFmtId="0" fontId="15" fillId="4" borderId="6" xfId="25" applyFont="1" applyFill="1" applyBorder="1" applyAlignment="1">
      <alignment horizontal="left"/>
    </xf>
    <xf numFmtId="0" fontId="15" fillId="0" borderId="1" xfId="25" applyFont="1" applyBorder="1" applyAlignment="1">
      <alignment horizontal="left"/>
    </xf>
    <xf numFmtId="164" fontId="15" fillId="0" borderId="7" xfId="26" quotePrefix="1" applyFont="1" applyBorder="1" applyAlignment="1">
      <alignment horizontal="right"/>
    </xf>
    <xf numFmtId="44" fontId="17" fillId="0" borderId="1" xfId="3" applyFont="1" applyBorder="1" applyAlignment="1">
      <alignment horizontal="right"/>
    </xf>
    <xf numFmtId="0" fontId="15" fillId="0" borderId="17" xfId="25" applyFont="1" applyBorder="1" applyAlignment="1">
      <alignment horizontal="left"/>
    </xf>
    <xf numFmtId="44" fontId="15" fillId="0" borderId="17" xfId="3" applyFont="1" applyBorder="1" applyAlignment="1">
      <alignment horizontal="right"/>
    </xf>
    <xf numFmtId="0" fontId="15" fillId="4" borderId="18" xfId="25" applyFont="1" applyFill="1" applyBorder="1" applyAlignment="1">
      <alignment horizontal="left"/>
    </xf>
    <xf numFmtId="0" fontId="15" fillId="4" borderId="8" xfId="25" applyFont="1" applyFill="1" applyBorder="1" applyAlignment="1">
      <alignment horizontal="left"/>
    </xf>
    <xf numFmtId="0" fontId="15" fillId="0" borderId="9" xfId="25" applyFont="1" applyBorder="1" applyAlignment="1">
      <alignment horizontal="left"/>
    </xf>
    <xf numFmtId="44" fontId="15" fillId="0" borderId="9" xfId="3" applyFont="1" applyBorder="1" applyAlignment="1">
      <alignment horizontal="right"/>
    </xf>
    <xf numFmtId="164" fontId="15" fillId="0" borderId="10" xfId="26" quotePrefix="1" applyFont="1" applyBorder="1" applyAlignment="1">
      <alignment horizontal="right"/>
    </xf>
    <xf numFmtId="0" fontId="15" fillId="0" borderId="1" xfId="25" applyFont="1" applyBorder="1" applyAlignment="1">
      <alignment horizontal="right"/>
    </xf>
    <xf numFmtId="0" fontId="15" fillId="0" borderId="17" xfId="25" applyFont="1" applyBorder="1" applyAlignment="1">
      <alignment horizontal="right"/>
    </xf>
    <xf numFmtId="0" fontId="15" fillId="0" borderId="9" xfId="25" applyFont="1" applyBorder="1" applyAlignment="1">
      <alignment horizontal="right"/>
    </xf>
    <xf numFmtId="165" fontId="15" fillId="0" borderId="1" xfId="47" applyNumberFormat="1" applyFont="1" applyFill="1" applyBorder="1" applyAlignment="1">
      <alignment horizontal="center"/>
    </xf>
    <xf numFmtId="165" fontId="15" fillId="0" borderId="1" xfId="47" applyNumberFormat="1" applyFont="1" applyBorder="1" applyAlignment="1">
      <alignment horizontal="center"/>
    </xf>
    <xf numFmtId="0" fontId="0" fillId="0" borderId="1" xfId="0" applyFont="1" applyBorder="1"/>
    <xf numFmtId="0" fontId="0" fillId="0" borderId="6" xfId="0" applyFont="1" applyBorder="1" applyAlignment="1">
      <alignment horizontal="left"/>
    </xf>
    <xf numFmtId="0" fontId="0" fillId="0" borderId="7" xfId="0" applyFont="1" applyBorder="1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10" xfId="0" applyFont="1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9" xfId="0" applyFont="1" applyBorder="1"/>
    <xf numFmtId="0" fontId="4" fillId="8" borderId="6" xfId="21" applyFont="1" applyFill="1" applyBorder="1" applyAlignment="1">
      <alignment horizontal="center"/>
    </xf>
    <xf numFmtId="0" fontId="4" fillId="8" borderId="1" xfId="21" applyFont="1" applyFill="1" applyBorder="1" applyAlignment="1">
      <alignment horizontal="center"/>
    </xf>
    <xf numFmtId="0" fontId="4" fillId="8" borderId="21" xfId="21" applyFont="1" applyFill="1" applyBorder="1" applyAlignment="1">
      <alignment horizontal="center"/>
    </xf>
    <xf numFmtId="0" fontId="4" fillId="8" borderId="7" xfId="21" applyFont="1" applyFill="1" applyBorder="1" applyAlignment="1">
      <alignment horizontal="center"/>
    </xf>
    <xf numFmtId="0" fontId="16" fillId="0" borderId="1" xfId="21" applyFont="1" applyBorder="1" applyAlignment="1">
      <alignment horizontal="left"/>
    </xf>
    <xf numFmtId="0" fontId="16" fillId="0" borderId="1" xfId="21" applyFont="1" applyFill="1" applyBorder="1" applyAlignment="1">
      <alignment horizontal="left"/>
    </xf>
    <xf numFmtId="0" fontId="16" fillId="0" borderId="9" xfId="21" applyFont="1" applyBorder="1" applyAlignment="1">
      <alignment horizontal="left"/>
    </xf>
    <xf numFmtId="0" fontId="16" fillId="0" borderId="9" xfId="21" applyFont="1" applyFill="1" applyBorder="1" applyAlignment="1">
      <alignment horizontal="left"/>
    </xf>
    <xf numFmtId="0" fontId="0" fillId="0" borderId="21" xfId="0" applyFont="1" applyBorder="1" applyAlignment="1">
      <alignment horizontal="right"/>
    </xf>
    <xf numFmtId="0" fontId="10" fillId="0" borderId="6" xfId="25" applyFont="1" applyBorder="1" applyAlignment="1">
      <alignment horizontal="left"/>
    </xf>
    <xf numFmtId="0" fontId="10" fillId="0" borderId="1" xfId="25" applyFont="1" applyBorder="1" applyAlignment="1">
      <alignment horizontal="center"/>
    </xf>
    <xf numFmtId="0" fontId="10" fillId="0" borderId="7" xfId="25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44" fontId="17" fillId="0" borderId="10" xfId="3" applyFont="1" applyBorder="1" applyAlignment="1">
      <alignment horizontal="center"/>
    </xf>
    <xf numFmtId="0" fontId="10" fillId="0" borderId="3" xfId="25" applyFont="1" applyFill="1" applyBorder="1" applyAlignment="1">
      <alignment horizontal="left"/>
    </xf>
    <xf numFmtId="0" fontId="10" fillId="0" borderId="8" xfId="25" applyFont="1" applyFill="1" applyBorder="1" applyAlignment="1">
      <alignment horizontal="left"/>
    </xf>
    <xf numFmtId="0" fontId="22" fillId="15" borderId="1" xfId="33" applyFont="1" applyFill="1" applyBorder="1" applyAlignment="1">
      <alignment horizontal="center" vertical="center" wrapText="1"/>
    </xf>
    <xf numFmtId="0" fontId="22" fillId="15" borderId="1" xfId="33" applyFont="1" applyFill="1" applyBorder="1" applyAlignment="1">
      <alignment horizontal="left" vertical="center" wrapText="1"/>
    </xf>
    <xf numFmtId="14" fontId="15" fillId="0" borderId="1" xfId="33" applyNumberFormat="1" applyFont="1" applyBorder="1" applyAlignment="1">
      <alignment horizontal="right"/>
    </xf>
    <xf numFmtId="0" fontId="15" fillId="0" borderId="1" xfId="33" applyFont="1" applyBorder="1" applyAlignment="1">
      <alignment horizontal="left"/>
    </xf>
    <xf numFmtId="0" fontId="15" fillId="0" borderId="1" xfId="33" applyFont="1" applyBorder="1" applyAlignment="1">
      <alignment horizontal="right"/>
    </xf>
    <xf numFmtId="164" fontId="15" fillId="0" borderId="1" xfId="34" applyFont="1" applyBorder="1" applyAlignment="1">
      <alignment horizontal="right"/>
    </xf>
    <xf numFmtId="0" fontId="0" fillId="0" borderId="1" xfId="0" applyBorder="1" applyAlignment="1">
      <alignment horizontal="center"/>
    </xf>
    <xf numFmtId="14" fontId="0" fillId="0" borderId="0" xfId="0" applyNumberFormat="1"/>
    <xf numFmtId="4" fontId="0" fillId="0" borderId="0" xfId="0" applyNumberFormat="1"/>
    <xf numFmtId="0" fontId="0" fillId="0" borderId="0" xfId="0" applyFill="1" applyBorder="1" applyAlignment="1"/>
    <xf numFmtId="0" fontId="0" fillId="0" borderId="15" xfId="0" applyFill="1" applyBorder="1" applyAlignment="1"/>
    <xf numFmtId="0" fontId="23" fillId="23" borderId="36" xfId="0" applyFont="1" applyFill="1" applyBorder="1" applyAlignment="1">
      <alignment horizontal="left"/>
    </xf>
    <xf numFmtId="0" fontId="23" fillId="23" borderId="12" xfId="0" applyFont="1" applyFill="1" applyBorder="1" applyAlignment="1">
      <alignment horizontal="left"/>
    </xf>
    <xf numFmtId="0" fontId="0" fillId="0" borderId="40" xfId="0" applyFill="1" applyBorder="1" applyAlignment="1"/>
    <xf numFmtId="0" fontId="24" fillId="24" borderId="0" xfId="0" applyFont="1" applyFill="1" applyBorder="1" applyAlignment="1">
      <alignment horizontal="left"/>
    </xf>
    <xf numFmtId="0" fontId="25" fillId="24" borderId="40" xfId="0" applyFont="1" applyFill="1" applyBorder="1" applyAlignment="1">
      <alignment horizontal="left"/>
    </xf>
    <xf numFmtId="0" fontId="24" fillId="24" borderId="15" xfId="0" applyFont="1" applyFill="1" applyBorder="1" applyAlignment="1">
      <alignment horizontal="left"/>
    </xf>
    <xf numFmtId="0" fontId="26" fillId="23" borderId="12" xfId="0" applyFont="1" applyFill="1" applyBorder="1" applyAlignment="1">
      <alignment horizontal="right"/>
    </xf>
    <xf numFmtId="0" fontId="26" fillId="23" borderId="36" xfId="0" applyFont="1" applyFill="1" applyBorder="1" applyAlignment="1">
      <alignment horizontal="right"/>
    </xf>
    <xf numFmtId="0" fontId="0" fillId="25" borderId="0" xfId="0" applyFill="1" applyBorder="1" applyAlignment="1"/>
    <xf numFmtId="0" fontId="27" fillId="0" borderId="0" xfId="0" applyFont="1" applyFill="1" applyBorder="1" applyAlignment="1">
      <alignment vertical="top" wrapText="1"/>
    </xf>
    <xf numFmtId="0" fontId="20" fillId="2" borderId="1" xfId="1" applyFont="1" applyFill="1" applyBorder="1" applyAlignment="1">
      <alignment horizontal="center" vertical="center"/>
    </xf>
    <xf numFmtId="0" fontId="18" fillId="0" borderId="1" xfId="1" applyFont="1" applyBorder="1" applyAlignment="1">
      <alignment horizontal="center"/>
    </xf>
    <xf numFmtId="0" fontId="10" fillId="3" borderId="11" xfId="25" applyFont="1" applyFill="1" applyBorder="1" applyAlignment="1">
      <alignment horizontal="center" vertical="center" wrapText="1"/>
    </xf>
    <xf numFmtId="0" fontId="10" fillId="3" borderId="12" xfId="25" applyFont="1" applyFill="1" applyBorder="1" applyAlignment="1">
      <alignment horizontal="center" vertical="center" wrapText="1"/>
    </xf>
    <xf numFmtId="0" fontId="10" fillId="3" borderId="13" xfId="25" applyFont="1" applyFill="1" applyBorder="1" applyAlignment="1">
      <alignment horizontal="center" vertical="center" wrapText="1"/>
    </xf>
    <xf numFmtId="0" fontId="10" fillId="3" borderId="14" xfId="25" applyFont="1" applyFill="1" applyBorder="1" applyAlignment="1">
      <alignment horizontal="center" vertical="center" wrapText="1"/>
    </xf>
    <xf numFmtId="0" fontId="10" fillId="3" borderId="15" xfId="25" applyFont="1" applyFill="1" applyBorder="1" applyAlignment="1">
      <alignment horizontal="center" vertical="center" wrapText="1"/>
    </xf>
    <xf numFmtId="0" fontId="10" fillId="3" borderId="16" xfId="25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18" fillId="0" borderId="1" xfId="4" applyFont="1" applyBorder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0" fontId="13" fillId="7" borderId="33" xfId="0" applyFont="1" applyFill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3" fillId="0" borderId="34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9" xfId="0" applyBorder="1" applyAlignment="1">
      <alignment horizontal="center"/>
    </xf>
    <xf numFmtId="0" fontId="19" fillId="7" borderId="1" xfId="0" applyFont="1" applyFill="1" applyBorder="1" applyAlignment="1">
      <alignment horizontal="center"/>
    </xf>
    <xf numFmtId="0" fontId="7" fillId="1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11" borderId="3" xfId="25" applyFont="1" applyFill="1" applyBorder="1" applyAlignment="1">
      <alignment horizontal="center" vertical="center" wrapText="1"/>
    </xf>
    <xf numFmtId="0" fontId="10" fillId="11" borderId="4" xfId="25" applyFont="1" applyFill="1" applyBorder="1" applyAlignment="1">
      <alignment horizontal="center" vertical="center" wrapText="1"/>
    </xf>
    <xf numFmtId="0" fontId="10" fillId="11" borderId="5" xfId="25" applyFont="1" applyFill="1" applyBorder="1" applyAlignment="1">
      <alignment horizontal="center" vertical="center" wrapText="1"/>
    </xf>
    <xf numFmtId="0" fontId="10" fillId="11" borderId="6" xfId="25" applyFont="1" applyFill="1" applyBorder="1" applyAlignment="1">
      <alignment horizontal="center" vertical="center" wrapText="1"/>
    </xf>
    <xf numFmtId="0" fontId="10" fillId="11" borderId="1" xfId="25" applyFont="1" applyFill="1" applyBorder="1" applyAlignment="1">
      <alignment horizontal="center" vertical="center" wrapText="1"/>
    </xf>
    <xf numFmtId="0" fontId="10" fillId="11" borderId="7" xfId="25" applyFont="1" applyFill="1" applyBorder="1" applyAlignment="1">
      <alignment horizontal="center" vertical="center" wrapText="1"/>
    </xf>
    <xf numFmtId="0" fontId="17" fillId="17" borderId="1" xfId="0" applyFont="1" applyFill="1" applyBorder="1" applyAlignment="1">
      <alignment horizontal="center"/>
    </xf>
    <xf numFmtId="0" fontId="21" fillId="17" borderId="1" xfId="0" applyFont="1" applyFill="1" applyBorder="1" applyAlignment="1">
      <alignment horizontal="center"/>
    </xf>
    <xf numFmtId="0" fontId="22" fillId="15" borderId="1" xfId="33" applyFont="1" applyFill="1" applyBorder="1" applyAlignment="1">
      <alignment horizontal="center" vertical="center" wrapText="1"/>
    </xf>
    <xf numFmtId="0" fontId="7" fillId="9" borderId="20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0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7" fillId="20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/>
    </xf>
    <xf numFmtId="44" fontId="4" fillId="0" borderId="21" xfId="3" applyFont="1" applyBorder="1" applyAlignment="1">
      <alignment horizontal="center"/>
    </xf>
    <xf numFmtId="44" fontId="4" fillId="0" borderId="29" xfId="3" applyFont="1" applyBorder="1" applyAlignment="1">
      <alignment horizontal="center"/>
    </xf>
    <xf numFmtId="0" fontId="4" fillId="19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center"/>
    </xf>
    <xf numFmtId="0" fontId="4" fillId="21" borderId="1" xfId="0" applyFont="1" applyFill="1" applyBorder="1" applyAlignment="1">
      <alignment horizontal="center"/>
    </xf>
  </cellXfs>
  <cellStyles count="49">
    <cellStyle name="Moeda" xfId="3" builtinId="4"/>
    <cellStyle name="Moeda 10" xfId="28"/>
    <cellStyle name="Moeda 11" xfId="30"/>
    <cellStyle name="Moeda 12" xfId="32"/>
    <cellStyle name="Moeda 13" xfId="34"/>
    <cellStyle name="Moeda 2" xfId="2"/>
    <cellStyle name="Moeda 2 2" xfId="15"/>
    <cellStyle name="Moeda 2 3" xfId="5"/>
    <cellStyle name="Moeda 3" xfId="11"/>
    <cellStyle name="Moeda 4" xfId="17"/>
    <cellStyle name="Moeda 6" xfId="20"/>
    <cellStyle name="Moeda 7" xfId="22"/>
    <cellStyle name="Moeda 8" xfId="24"/>
    <cellStyle name="Moeda 9" xfId="26"/>
    <cellStyle name="Normal" xfId="0" builtinId="0"/>
    <cellStyle name="Normal 10" xfId="27"/>
    <cellStyle name="Normal 11" xfId="29"/>
    <cellStyle name="Normal 12" xfId="31"/>
    <cellStyle name="Normal 13" xfId="33"/>
    <cellStyle name="Normal 14" xfId="35"/>
    <cellStyle name="Normal 15" xfId="36"/>
    <cellStyle name="Normal 16" xfId="37"/>
    <cellStyle name="Normal 17" xfId="39"/>
    <cellStyle name="Normal 18" xfId="41"/>
    <cellStyle name="Normal 19" xfId="42"/>
    <cellStyle name="Normal 2" xfId="6"/>
    <cellStyle name="Normal 2 2" xfId="14"/>
    <cellStyle name="Normal 3" xfId="1"/>
    <cellStyle name="Normal 3 2" xfId="16"/>
    <cellStyle name="Normal 3 3" xfId="4"/>
    <cellStyle name="Normal 3 3 2" xfId="48"/>
    <cellStyle name="Normal 4" xfId="10"/>
    <cellStyle name="Normal 5" xfId="18"/>
    <cellStyle name="Normal 6" xfId="19"/>
    <cellStyle name="Normal 7" xfId="21"/>
    <cellStyle name="Normal 8" xfId="23"/>
    <cellStyle name="Normal 9" xfId="25"/>
    <cellStyle name="Normal_Folha de Pagamento" xfId="44"/>
    <cellStyle name="Normal_Lojas Carrefour" xfId="7"/>
    <cellStyle name="Porcentagem 19" xfId="43"/>
    <cellStyle name="Porcentagem 2" xfId="8"/>
    <cellStyle name="Porcentagem 2 2" xfId="45"/>
    <cellStyle name="Porcentagem 3" xfId="12"/>
    <cellStyle name="Separador de milhares" xfId="47" builtinId="3"/>
    <cellStyle name="Separador de milhares 16" xfId="38"/>
    <cellStyle name="Separador de milhares 17" xfId="40"/>
    <cellStyle name="Vírgula 2" xfId="9"/>
    <cellStyle name="Vírgula 2 2" xfId="46"/>
    <cellStyle name="Vírgula 3" xfId="13"/>
  </cellStyles>
  <dxfs count="0"/>
  <tableStyles count="0" defaultTableStyle="TableStyleMedium2" defaultPivotStyle="PivotStyleMedium9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FFICE2010_FIC/Excel2010/Avan&#231;ado/Exemplos%20-%20Resolvidos/Amostra_Resolvi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mes"/>
      <sheetName val="Organizando_Dados"/>
      <sheetName val="Subtotais"/>
      <sheetName val="Filtro"/>
      <sheetName val="Tabela_Dinamica"/>
      <sheetName val="Tabela_Dinamica_Dados_Externos"/>
      <sheetName val="Dados_Externos"/>
      <sheetName val="Dados_Externos_Access"/>
      <sheetName val="Resumo do cenário"/>
      <sheetName val="Tabela dinâmica do cenário"/>
      <sheetName val="Cenarios"/>
      <sheetName val="Protecao"/>
      <sheetName val="Validacao"/>
      <sheetName val="Inspecao"/>
      <sheetName val="Precedentes_Dependentes"/>
      <sheetName val="Atingir_Meta"/>
      <sheetName val="SOLVER"/>
      <sheetName val="Funcoes_de_Texto"/>
      <sheetName val="Mat_Trig"/>
      <sheetName val="Somase"/>
      <sheetName val="Estatisticas"/>
      <sheetName val="PROCH"/>
      <sheetName val="PROCV"/>
      <sheetName val="INDICE"/>
      <sheetName val="CORRESP"/>
      <sheetName val="Funcao_BD"/>
      <sheetName val="ÉERROS"/>
      <sheetName val="Funcao_VF"/>
      <sheetName val="Funcao_NPER"/>
      <sheetName val="Funcao_PGTO"/>
      <sheetName val="Funcao_VP"/>
      <sheetName val="Funcao_TAXA"/>
      <sheetName val="TABELA_DE_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H2">
            <v>1</v>
          </cell>
        </row>
        <row r="3">
          <cell r="H3">
            <v>2</v>
          </cell>
        </row>
        <row r="4">
          <cell r="H4">
            <v>3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053.466690856483" createdVersion="3" refreshedVersion="3" minRefreshableVersion="3" recordCount="225">
  <cacheSource type="external" connectionId="2"/>
  <cacheFields count="10">
    <cacheField name="Zona" numFmtId="0">
      <sharedItems count="4">
        <s v="LATAM"/>
        <s v="HPCNA"/>
        <s v="HPCE"/>
        <s v="NAMET"/>
      </sharedItems>
    </cacheField>
    <cacheField name="Categoria" numFmtId="0">
      <sharedItems count="6">
        <s v="HOUSEHOLD"/>
        <s v="LAUNDRY"/>
        <s v="DEODORANT"/>
        <s v="HAIRCARE"/>
        <s v="SKIN"/>
        <s v="FINE FRAGRANCE"/>
      </sharedItems>
    </cacheField>
    <cacheField name="Sigla - País" numFmtId="0">
      <sharedItems count="10">
        <s v="AR"/>
        <s v="BR"/>
        <s v="CA"/>
        <s v="CL"/>
        <s v="CO"/>
        <s v="CU"/>
        <s v="FR"/>
        <s v="IL"/>
        <s v="IT"/>
        <s v="US"/>
      </sharedItems>
    </cacheField>
    <cacheField name="País" numFmtId="0">
      <sharedItems count="10">
        <s v="Argentina"/>
        <s v="Brazil"/>
        <s v="Canada"/>
        <s v="Chile"/>
        <s v="Colombia"/>
        <s v="Cuba"/>
        <s v="France"/>
        <s v="Israel"/>
        <s v="Italy"/>
        <s v="United States Of America"/>
      </sharedItems>
    </cacheField>
    <cacheField name="Região" numFmtId="0">
      <sharedItems count="11">
        <s v="Firar Region"/>
        <s v="São Paulo"/>
        <s v="Rio de Janeiro"/>
        <s v="Ceará"/>
        <s v="Minas Gerais"/>
        <s v="Pernambuco"/>
        <s v="Canada"/>
        <s v="Fideco Region"/>
        <s v="Western Europe"/>
        <s v="Firamo Region"/>
        <s v="Usa"/>
      </sharedItems>
    </cacheField>
    <cacheField name="Vendas" numFmtId="0">
      <sharedItems containsSemiMixedTypes="0" containsString="0" containsNumber="1" minValue="-125967.16" maxValue="923613.32"/>
    </cacheField>
    <cacheField name="Aplicabilidade" numFmtId="0">
      <sharedItems count="13">
        <s v="HOUSEHOLD"/>
        <s v="FABRIC CLEANING"/>
        <s v="ANTI P/DEO"/>
        <s v="MASCULINE DEOCOLOGNE"/>
        <s v="FEMININE DEOCOLOGNE"/>
        <s v="HAIRCARE"/>
        <s v="SOAP BAR"/>
        <s v="FABRIC CARE"/>
        <s v="SKIN CARE"/>
        <s v="SKIN CLEANSING"/>
        <s v="DISHWASH"/>
        <s v="FEMININE EDT PRESTIGE"/>
        <s v="MASCULINE EDT PRESTIGE"/>
      </sharedItems>
    </cacheField>
    <cacheField name="Segmento" numFmtId="0">
      <sharedItems count="3">
        <s v="Home Care"/>
        <s v="Personal Care"/>
        <s v="Fine Fragrance (Prestige)"/>
      </sharedItems>
    </cacheField>
    <cacheField name="Produto" numFmtId="0">
      <sharedItems/>
    </cacheField>
    <cacheField name="Marca" numFmtId="0">
      <sharedItems count="20">
        <s v="Cif"/>
        <s v="Smart Shopper"/>
        <s v="Tech Leader"/>
        <s v="Axe"/>
        <s v="Impulse"/>
        <s v="Local Jewels"/>
        <s v="Lux"/>
        <s v="Sunsilk"/>
        <s v="Comfort"/>
        <s v="Looks Great"/>
        <s v="Top Clean"/>
        <s v="Dove"/>
        <s v="Lifebuoy"/>
        <s v="Rexona"/>
        <s v="Vaseline"/>
        <s v="Dishwash"/>
        <s v="Pond's"/>
        <s v="Suave"/>
        <s v="Clear"/>
        <s v="Prestige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053.466691550922" createdVersion="3" refreshedVersion="3" minRefreshableVersion="3" recordCount="27">
  <cacheSource type="worksheet">
    <worksheetSource ref="A3:E30" sheet="Tabela_Dinamica"/>
  </cacheSource>
  <cacheFields count="5">
    <cacheField name="Marca" numFmtId="0">
      <sharedItems count="8">
        <s v="Microsoft"/>
        <s v="Gradiente"/>
        <s v="Siemens"/>
        <s v="HP"/>
        <s v="Samsung"/>
        <s v="Toshiba"/>
        <s v="AOC"/>
        <s v="LG"/>
      </sharedItems>
    </cacheField>
    <cacheField name="Tipo" numFmtId="0">
      <sharedItems count="10">
        <s v="Teclado"/>
        <s v="TV"/>
        <s v="Celular"/>
        <s v="Impressora"/>
        <s v="Notebook"/>
        <s v="Mouse"/>
        <s v="Monitor"/>
        <s v="Som"/>
        <s v="DVD"/>
        <s v="Windows Vista"/>
      </sharedItems>
    </cacheField>
    <cacheField name="Quantidade" numFmtId="0">
      <sharedItems containsSemiMixedTypes="0" containsString="0" containsNumber="1" containsInteger="1" minValue="3" maxValue="97"/>
    </cacheField>
    <cacheField name="Valor unitário" numFmtId="44">
      <sharedItems containsSemiMixedTypes="0" containsString="0" containsNumber="1" containsInteger="1" minValue="80" maxValue="3000"/>
    </cacheField>
    <cacheField name="Valor Total" numFmtId="164">
      <sharedItems containsSemiMixedTypes="0" containsString="0" containsNumber="1" containsInteger="1" minValue="261" maxValue="48000"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Autor" refreshedDate="44053.480161805557" createdVersion="3" refreshedVersion="3" minRefreshableVersion="3" recordCount="2">
  <cacheSource type="scenario"/>
  <cacheFields count="3">
    <cacheField name="$D$3:$D$8;$J$3;$J$4" numFmtId="0">
      <sharedItems containsNonDate="0" count="2">
        <s v="Melhor Caso"/>
        <s v="Pior Caso"/>
      </sharedItems>
    </cacheField>
    <cacheField name="$D$3:$D$8;$J$3;$J$4 por" numFmtId="0">
      <sharedItems containsNonDate="0" count="1">
        <s v="Autor"/>
      </sharedItems>
    </cacheField>
    <cacheField name="res $G$3" numFmtId="0">
      <sharedItems containsSemiMixedTypes="0" containsNonDate="0" containsString="0" containsNumber="1" containsInteger="1" minValue="12180" maxValue="33600" count="2">
        <n v="33600"/>
        <n v="1218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5">
  <r>
    <x v="0"/>
    <x v="0"/>
    <x v="0"/>
    <x v="0"/>
    <x v="0"/>
    <n v="16807.93"/>
    <x v="0"/>
    <x v="0"/>
    <s v="CALAMARO UN"/>
    <x v="0"/>
  </r>
  <r>
    <x v="0"/>
    <x v="0"/>
    <x v="0"/>
    <x v="0"/>
    <x v="0"/>
    <n v="130366.83"/>
    <x v="0"/>
    <x v="0"/>
    <s v="COOL MARINE UN"/>
    <x v="0"/>
  </r>
  <r>
    <x v="0"/>
    <x v="0"/>
    <x v="0"/>
    <x v="0"/>
    <x v="0"/>
    <n v="24730.53"/>
    <x v="0"/>
    <x v="0"/>
    <s v="TIGER UN"/>
    <x v="0"/>
  </r>
  <r>
    <x v="0"/>
    <x v="0"/>
    <x v="0"/>
    <x v="0"/>
    <x v="0"/>
    <n v="28888.560000000001"/>
    <x v="0"/>
    <x v="0"/>
    <s v="WHITE SURPRISE UN"/>
    <x v="0"/>
  </r>
  <r>
    <x v="0"/>
    <x v="0"/>
    <x v="0"/>
    <x v="0"/>
    <x v="0"/>
    <n v="927.38"/>
    <x v="0"/>
    <x v="0"/>
    <s v="SONIC UN"/>
    <x v="0"/>
  </r>
  <r>
    <x v="0"/>
    <x v="0"/>
    <x v="0"/>
    <x v="0"/>
    <x v="0"/>
    <n v="2991.7"/>
    <x v="0"/>
    <x v="0"/>
    <s v="CONIFER UN"/>
    <x v="0"/>
  </r>
  <r>
    <x v="0"/>
    <x v="0"/>
    <x v="0"/>
    <x v="0"/>
    <x v="0"/>
    <n v="2136.27"/>
    <x v="0"/>
    <x v="0"/>
    <s v="IGLOO UN"/>
    <x v="0"/>
  </r>
  <r>
    <x v="0"/>
    <x v="0"/>
    <x v="0"/>
    <x v="0"/>
    <x v="0"/>
    <n v="3310.26"/>
    <x v="0"/>
    <x v="0"/>
    <s v="CITROPERLE UN"/>
    <x v="0"/>
  </r>
  <r>
    <x v="0"/>
    <x v="1"/>
    <x v="0"/>
    <x v="0"/>
    <x v="0"/>
    <n v="4233.84"/>
    <x v="1"/>
    <x v="0"/>
    <s v="XANTIA UN"/>
    <x v="1"/>
  </r>
  <r>
    <x v="0"/>
    <x v="1"/>
    <x v="0"/>
    <x v="0"/>
    <x v="0"/>
    <n v="9875.6"/>
    <x v="1"/>
    <x v="0"/>
    <s v="BUDGET BALANCE"/>
    <x v="2"/>
  </r>
  <r>
    <x v="0"/>
    <x v="2"/>
    <x v="0"/>
    <x v="0"/>
    <x v="0"/>
    <n v="7275.68"/>
    <x v="2"/>
    <x v="1"/>
    <s v="BUDGET BALANCE"/>
    <x v="3"/>
  </r>
  <r>
    <x v="0"/>
    <x v="2"/>
    <x v="0"/>
    <x v="0"/>
    <x v="0"/>
    <n v="550"/>
    <x v="3"/>
    <x v="1"/>
    <s v="ENERGIZING UN"/>
    <x v="3"/>
  </r>
  <r>
    <x v="0"/>
    <x v="2"/>
    <x v="0"/>
    <x v="0"/>
    <x v="0"/>
    <n v="3928.82"/>
    <x v="3"/>
    <x v="1"/>
    <s v="PIERROT UN"/>
    <x v="3"/>
  </r>
  <r>
    <x v="0"/>
    <x v="2"/>
    <x v="0"/>
    <x v="0"/>
    <x v="0"/>
    <n v="9643.1299999999992"/>
    <x v="4"/>
    <x v="1"/>
    <s v="EFFERVESCENT UN"/>
    <x v="4"/>
  </r>
  <r>
    <x v="0"/>
    <x v="3"/>
    <x v="0"/>
    <x v="0"/>
    <x v="0"/>
    <n v="3212.2"/>
    <x v="5"/>
    <x v="1"/>
    <s v="BAUME UN"/>
    <x v="5"/>
  </r>
  <r>
    <x v="0"/>
    <x v="4"/>
    <x v="0"/>
    <x v="0"/>
    <x v="0"/>
    <n v="23663.23"/>
    <x v="6"/>
    <x v="1"/>
    <s v="BLUE LAGOON UN"/>
    <x v="5"/>
  </r>
  <r>
    <x v="0"/>
    <x v="4"/>
    <x v="0"/>
    <x v="0"/>
    <x v="0"/>
    <n v="40299.519999999997"/>
    <x v="6"/>
    <x v="1"/>
    <s v="TIFFANY UN"/>
    <x v="6"/>
  </r>
  <r>
    <x v="0"/>
    <x v="4"/>
    <x v="0"/>
    <x v="0"/>
    <x v="0"/>
    <n v="52789.74"/>
    <x v="6"/>
    <x v="1"/>
    <s v="MORNING DEW UN"/>
    <x v="6"/>
  </r>
  <r>
    <x v="0"/>
    <x v="4"/>
    <x v="0"/>
    <x v="0"/>
    <x v="0"/>
    <n v="18373.52"/>
    <x v="6"/>
    <x v="1"/>
    <s v="MORNING DEW UN"/>
    <x v="6"/>
  </r>
  <r>
    <x v="0"/>
    <x v="3"/>
    <x v="0"/>
    <x v="0"/>
    <x v="0"/>
    <n v="234.83"/>
    <x v="5"/>
    <x v="1"/>
    <s v="ASTRAL UN"/>
    <x v="7"/>
  </r>
  <r>
    <x v="0"/>
    <x v="3"/>
    <x v="0"/>
    <x v="0"/>
    <x v="0"/>
    <n v="276.35000000000002"/>
    <x v="5"/>
    <x v="1"/>
    <s v="PETULA UN"/>
    <x v="7"/>
  </r>
  <r>
    <x v="0"/>
    <x v="3"/>
    <x v="0"/>
    <x v="0"/>
    <x v="0"/>
    <n v="5364.66"/>
    <x v="5"/>
    <x v="1"/>
    <s v="ANDROMEDA UN"/>
    <x v="7"/>
  </r>
  <r>
    <x v="0"/>
    <x v="3"/>
    <x v="0"/>
    <x v="0"/>
    <x v="0"/>
    <n v="5918.66"/>
    <x v="5"/>
    <x v="1"/>
    <s v="ASABA UN"/>
    <x v="7"/>
  </r>
  <r>
    <x v="0"/>
    <x v="3"/>
    <x v="0"/>
    <x v="0"/>
    <x v="0"/>
    <n v="2323.44"/>
    <x v="5"/>
    <x v="1"/>
    <s v="LUA DE MEL UN"/>
    <x v="7"/>
  </r>
  <r>
    <x v="0"/>
    <x v="3"/>
    <x v="0"/>
    <x v="0"/>
    <x v="0"/>
    <n v="4719.59"/>
    <x v="5"/>
    <x v="1"/>
    <s v="PAMPLOO UN"/>
    <x v="7"/>
  </r>
  <r>
    <x v="0"/>
    <x v="3"/>
    <x v="0"/>
    <x v="0"/>
    <x v="0"/>
    <n v="2788.14"/>
    <x v="5"/>
    <x v="1"/>
    <s v="SOIE UN"/>
    <x v="7"/>
  </r>
  <r>
    <x v="0"/>
    <x v="1"/>
    <x v="1"/>
    <x v="1"/>
    <x v="1"/>
    <n v="49154.29"/>
    <x v="7"/>
    <x v="0"/>
    <s v="TROPICAL JANGO UN"/>
    <x v="8"/>
  </r>
  <r>
    <x v="0"/>
    <x v="1"/>
    <x v="1"/>
    <x v="1"/>
    <x v="1"/>
    <n v="75847.600000000006"/>
    <x v="7"/>
    <x v="0"/>
    <s v="CASTLE UN"/>
    <x v="8"/>
  </r>
  <r>
    <x v="0"/>
    <x v="1"/>
    <x v="1"/>
    <x v="1"/>
    <x v="1"/>
    <n v="7263.16"/>
    <x v="7"/>
    <x v="0"/>
    <s v="KARINA UN"/>
    <x v="5"/>
  </r>
  <r>
    <x v="0"/>
    <x v="1"/>
    <x v="1"/>
    <x v="1"/>
    <x v="1"/>
    <n v="56980.37"/>
    <x v="1"/>
    <x v="0"/>
    <s v="WHITE THERAPY UN"/>
    <x v="5"/>
  </r>
  <r>
    <x v="0"/>
    <x v="1"/>
    <x v="1"/>
    <x v="1"/>
    <x v="1"/>
    <n v="19362.87"/>
    <x v="1"/>
    <x v="0"/>
    <s v="FRESH 2001 UN"/>
    <x v="9"/>
  </r>
  <r>
    <x v="0"/>
    <x v="1"/>
    <x v="1"/>
    <x v="1"/>
    <x v="1"/>
    <n v="5346.13"/>
    <x v="1"/>
    <x v="0"/>
    <s v="XANTIA UN"/>
    <x v="1"/>
  </r>
  <r>
    <x v="0"/>
    <x v="1"/>
    <x v="1"/>
    <x v="1"/>
    <x v="1"/>
    <n v="23500.51"/>
    <x v="1"/>
    <x v="0"/>
    <s v="WISHMASTER UN"/>
    <x v="10"/>
  </r>
  <r>
    <x v="0"/>
    <x v="2"/>
    <x v="1"/>
    <x v="1"/>
    <x v="2"/>
    <n v="11268.55"/>
    <x v="3"/>
    <x v="1"/>
    <s v="ENERGIZING UN"/>
    <x v="3"/>
  </r>
  <r>
    <x v="0"/>
    <x v="2"/>
    <x v="1"/>
    <x v="1"/>
    <x v="2"/>
    <n v="23488.7"/>
    <x v="3"/>
    <x v="1"/>
    <s v="ENERGISANT UN"/>
    <x v="3"/>
  </r>
  <r>
    <x v="0"/>
    <x v="4"/>
    <x v="1"/>
    <x v="1"/>
    <x v="2"/>
    <n v="5740.25"/>
    <x v="8"/>
    <x v="1"/>
    <s v="MOHELI UN"/>
    <x v="11"/>
  </r>
  <r>
    <x v="0"/>
    <x v="4"/>
    <x v="1"/>
    <x v="1"/>
    <x v="2"/>
    <n v="57206.19"/>
    <x v="6"/>
    <x v="1"/>
    <s v="STARRY UN"/>
    <x v="12"/>
  </r>
  <r>
    <x v="0"/>
    <x v="4"/>
    <x v="1"/>
    <x v="1"/>
    <x v="2"/>
    <n v="11155.24"/>
    <x v="6"/>
    <x v="1"/>
    <s v="ENERGISING UN"/>
    <x v="12"/>
  </r>
  <r>
    <x v="0"/>
    <x v="4"/>
    <x v="0"/>
    <x v="1"/>
    <x v="2"/>
    <n v="16481.560000000001"/>
    <x v="6"/>
    <x v="1"/>
    <s v="CELESTIAL UN"/>
    <x v="5"/>
  </r>
  <r>
    <x v="0"/>
    <x v="4"/>
    <x v="0"/>
    <x v="1"/>
    <x v="2"/>
    <n v="12045.39"/>
    <x v="6"/>
    <x v="1"/>
    <s v="ORANGE EGG UN"/>
    <x v="5"/>
  </r>
  <r>
    <x v="0"/>
    <x v="4"/>
    <x v="0"/>
    <x v="1"/>
    <x v="2"/>
    <n v="3074"/>
    <x v="6"/>
    <x v="1"/>
    <s v="UNLIMITED UN"/>
    <x v="5"/>
  </r>
  <r>
    <x v="0"/>
    <x v="2"/>
    <x v="1"/>
    <x v="1"/>
    <x v="2"/>
    <n v="7381.61"/>
    <x v="3"/>
    <x v="1"/>
    <s v="SPORTSONS UN"/>
    <x v="5"/>
  </r>
  <r>
    <x v="0"/>
    <x v="3"/>
    <x v="1"/>
    <x v="1"/>
    <x v="2"/>
    <n v="31361.96"/>
    <x v="5"/>
    <x v="1"/>
    <s v="TATAMI UN"/>
    <x v="5"/>
  </r>
  <r>
    <x v="0"/>
    <x v="3"/>
    <x v="1"/>
    <x v="1"/>
    <x v="3"/>
    <n v="3109.71"/>
    <x v="5"/>
    <x v="1"/>
    <s v="TATAMI UN"/>
    <x v="5"/>
  </r>
  <r>
    <x v="0"/>
    <x v="4"/>
    <x v="1"/>
    <x v="1"/>
    <x v="3"/>
    <n v="18808.099999999999"/>
    <x v="8"/>
    <x v="1"/>
    <s v="ENERGY UN"/>
    <x v="5"/>
  </r>
  <r>
    <x v="0"/>
    <x v="4"/>
    <x v="1"/>
    <x v="1"/>
    <x v="3"/>
    <n v="10329.11"/>
    <x v="8"/>
    <x v="1"/>
    <s v="SENSUAL UN"/>
    <x v="5"/>
  </r>
  <r>
    <x v="0"/>
    <x v="4"/>
    <x v="1"/>
    <x v="1"/>
    <x v="3"/>
    <n v="10568.18"/>
    <x v="6"/>
    <x v="1"/>
    <s v="RIVA UN"/>
    <x v="5"/>
  </r>
  <r>
    <x v="0"/>
    <x v="4"/>
    <x v="1"/>
    <x v="1"/>
    <x v="3"/>
    <n v="5501.73"/>
    <x v="6"/>
    <x v="1"/>
    <s v="SHAMA UN"/>
    <x v="5"/>
  </r>
  <r>
    <x v="0"/>
    <x v="4"/>
    <x v="0"/>
    <x v="1"/>
    <x v="3"/>
    <n v="8506.0400000000009"/>
    <x v="6"/>
    <x v="1"/>
    <s v="ARIBA UN"/>
    <x v="6"/>
  </r>
  <r>
    <x v="0"/>
    <x v="4"/>
    <x v="0"/>
    <x v="1"/>
    <x v="3"/>
    <n v="7171.99"/>
    <x v="6"/>
    <x v="1"/>
    <s v="MAZARINA UN"/>
    <x v="6"/>
  </r>
  <r>
    <x v="0"/>
    <x v="4"/>
    <x v="0"/>
    <x v="1"/>
    <x v="3"/>
    <n v="90424.05"/>
    <x v="6"/>
    <x v="1"/>
    <s v="OPELA UN"/>
    <x v="6"/>
  </r>
  <r>
    <x v="0"/>
    <x v="4"/>
    <x v="0"/>
    <x v="1"/>
    <x v="3"/>
    <n v="7573.62"/>
    <x v="6"/>
    <x v="1"/>
    <s v="OPELA UN"/>
    <x v="6"/>
  </r>
  <r>
    <x v="0"/>
    <x v="4"/>
    <x v="0"/>
    <x v="1"/>
    <x v="3"/>
    <n v="7328.59"/>
    <x v="6"/>
    <x v="1"/>
    <s v="ARABELLA UN"/>
    <x v="6"/>
  </r>
  <r>
    <x v="0"/>
    <x v="4"/>
    <x v="0"/>
    <x v="1"/>
    <x v="4"/>
    <n v="10374.75"/>
    <x v="6"/>
    <x v="1"/>
    <s v="PASHMINA BLANC UN"/>
    <x v="6"/>
  </r>
  <r>
    <x v="0"/>
    <x v="4"/>
    <x v="0"/>
    <x v="1"/>
    <x v="4"/>
    <n v="44968.4"/>
    <x v="6"/>
    <x v="1"/>
    <s v="WHITE HAZE UN"/>
    <x v="6"/>
  </r>
  <r>
    <x v="0"/>
    <x v="4"/>
    <x v="0"/>
    <x v="1"/>
    <x v="4"/>
    <n v="6791.2"/>
    <x v="6"/>
    <x v="1"/>
    <s v="WHITE HAZE UN"/>
    <x v="6"/>
  </r>
  <r>
    <x v="0"/>
    <x v="4"/>
    <x v="0"/>
    <x v="1"/>
    <x v="4"/>
    <n v="60036.74"/>
    <x v="6"/>
    <x v="1"/>
    <s v="PLATINUM UN"/>
    <x v="6"/>
  </r>
  <r>
    <x v="0"/>
    <x v="4"/>
    <x v="0"/>
    <x v="1"/>
    <x v="4"/>
    <n v="116065.76"/>
    <x v="6"/>
    <x v="1"/>
    <s v="SUN LOVE UN"/>
    <x v="6"/>
  </r>
  <r>
    <x v="0"/>
    <x v="4"/>
    <x v="0"/>
    <x v="1"/>
    <x v="4"/>
    <n v="657.82"/>
    <x v="6"/>
    <x v="1"/>
    <s v="MAGICREAM UN"/>
    <x v="6"/>
  </r>
  <r>
    <x v="0"/>
    <x v="4"/>
    <x v="1"/>
    <x v="1"/>
    <x v="4"/>
    <n v="4367.07"/>
    <x v="9"/>
    <x v="1"/>
    <s v="JOBIM UN"/>
    <x v="6"/>
  </r>
  <r>
    <x v="0"/>
    <x v="4"/>
    <x v="1"/>
    <x v="1"/>
    <x v="4"/>
    <n v="1091.77"/>
    <x v="6"/>
    <x v="1"/>
    <s v="TIFFANY UN"/>
    <x v="6"/>
  </r>
  <r>
    <x v="0"/>
    <x v="4"/>
    <x v="1"/>
    <x v="1"/>
    <x v="4"/>
    <n v="6663.61"/>
    <x v="6"/>
    <x v="1"/>
    <s v="MORNING DEW UN"/>
    <x v="6"/>
  </r>
  <r>
    <x v="0"/>
    <x v="4"/>
    <x v="1"/>
    <x v="1"/>
    <x v="4"/>
    <n v="11903.3"/>
    <x v="6"/>
    <x v="1"/>
    <s v="LAGOYA UN"/>
    <x v="6"/>
  </r>
  <r>
    <x v="0"/>
    <x v="4"/>
    <x v="1"/>
    <x v="1"/>
    <x v="4"/>
    <n v="38304.589999999997"/>
    <x v="6"/>
    <x v="1"/>
    <s v="ARIBA UN"/>
    <x v="6"/>
  </r>
  <r>
    <x v="0"/>
    <x v="4"/>
    <x v="0"/>
    <x v="1"/>
    <x v="4"/>
    <n v="12590.35"/>
    <x v="6"/>
    <x v="1"/>
    <s v="MONAS UN"/>
    <x v="13"/>
  </r>
  <r>
    <x v="0"/>
    <x v="4"/>
    <x v="0"/>
    <x v="1"/>
    <x v="4"/>
    <n v="464.07"/>
    <x v="6"/>
    <x v="1"/>
    <s v="OMEGA UN"/>
    <x v="13"/>
  </r>
  <r>
    <x v="0"/>
    <x v="4"/>
    <x v="0"/>
    <x v="1"/>
    <x v="5"/>
    <n v="10853.66"/>
    <x v="6"/>
    <x v="1"/>
    <s v="OXYGENIA UN"/>
    <x v="13"/>
  </r>
  <r>
    <x v="0"/>
    <x v="4"/>
    <x v="1"/>
    <x v="1"/>
    <x v="5"/>
    <n v="21813.51"/>
    <x v="8"/>
    <x v="1"/>
    <s v="CRINOLINE UN"/>
    <x v="14"/>
  </r>
  <r>
    <x v="0"/>
    <x v="4"/>
    <x v="1"/>
    <x v="1"/>
    <x v="5"/>
    <n v="2795.5"/>
    <x v="8"/>
    <x v="1"/>
    <s v="CRINOLINE UN"/>
    <x v="14"/>
  </r>
  <r>
    <x v="1"/>
    <x v="0"/>
    <x v="2"/>
    <x v="2"/>
    <x v="6"/>
    <n v="14848.01"/>
    <x v="0"/>
    <x v="0"/>
    <s v="OPALINA UN"/>
    <x v="0"/>
  </r>
  <r>
    <x v="1"/>
    <x v="1"/>
    <x v="2"/>
    <x v="2"/>
    <x v="6"/>
    <n v="19133.84"/>
    <x v="1"/>
    <x v="0"/>
    <s v="JEANIE UN"/>
    <x v="10"/>
  </r>
  <r>
    <x v="1"/>
    <x v="1"/>
    <x v="2"/>
    <x v="2"/>
    <x v="6"/>
    <n v="19501.11"/>
    <x v="1"/>
    <x v="0"/>
    <s v="BUDGET BALANCE"/>
    <x v="10"/>
  </r>
  <r>
    <x v="1"/>
    <x v="3"/>
    <x v="2"/>
    <x v="2"/>
    <x v="6"/>
    <n v="26520.38"/>
    <x v="5"/>
    <x v="1"/>
    <s v="FANTASTIQUE UN"/>
    <x v="5"/>
  </r>
  <r>
    <x v="0"/>
    <x v="0"/>
    <x v="3"/>
    <x v="3"/>
    <x v="0"/>
    <n v="23308.68"/>
    <x v="10"/>
    <x v="0"/>
    <s v="LEMONTIME UN"/>
    <x v="15"/>
  </r>
  <r>
    <x v="0"/>
    <x v="0"/>
    <x v="3"/>
    <x v="3"/>
    <x v="0"/>
    <n v="5728.47"/>
    <x v="10"/>
    <x v="0"/>
    <s v="ANKARA UN"/>
    <x v="15"/>
  </r>
  <r>
    <x v="0"/>
    <x v="0"/>
    <x v="3"/>
    <x v="3"/>
    <x v="0"/>
    <n v="4417.87"/>
    <x v="10"/>
    <x v="0"/>
    <s v="REALISTIC UN"/>
    <x v="15"/>
  </r>
  <r>
    <x v="0"/>
    <x v="0"/>
    <x v="3"/>
    <x v="3"/>
    <x v="0"/>
    <n v="18721.87"/>
    <x v="10"/>
    <x v="0"/>
    <s v="BOHEME UN"/>
    <x v="15"/>
  </r>
  <r>
    <x v="0"/>
    <x v="0"/>
    <x v="3"/>
    <x v="3"/>
    <x v="0"/>
    <n v="4127.33"/>
    <x v="10"/>
    <x v="0"/>
    <s v="BOHEME UN"/>
    <x v="15"/>
  </r>
  <r>
    <x v="0"/>
    <x v="4"/>
    <x v="3"/>
    <x v="3"/>
    <x v="0"/>
    <n v="21640.15"/>
    <x v="6"/>
    <x v="1"/>
    <s v="MONAS UN"/>
    <x v="5"/>
  </r>
  <r>
    <x v="0"/>
    <x v="0"/>
    <x v="4"/>
    <x v="4"/>
    <x v="7"/>
    <n v="8222.2800000000007"/>
    <x v="0"/>
    <x v="0"/>
    <s v="CERVINIA UN"/>
    <x v="0"/>
  </r>
  <r>
    <x v="0"/>
    <x v="1"/>
    <x v="4"/>
    <x v="4"/>
    <x v="7"/>
    <n v="9387.65"/>
    <x v="1"/>
    <x v="0"/>
    <s v="LIMON UN"/>
    <x v="5"/>
  </r>
  <r>
    <x v="0"/>
    <x v="1"/>
    <x v="4"/>
    <x v="4"/>
    <x v="7"/>
    <n v="14598.51"/>
    <x v="1"/>
    <x v="0"/>
    <s v="AVANTI UN"/>
    <x v="10"/>
  </r>
  <r>
    <x v="0"/>
    <x v="1"/>
    <x v="4"/>
    <x v="4"/>
    <x v="7"/>
    <n v="15894.26"/>
    <x v="1"/>
    <x v="0"/>
    <s v="AVANTI UN"/>
    <x v="10"/>
  </r>
  <r>
    <x v="0"/>
    <x v="4"/>
    <x v="4"/>
    <x v="4"/>
    <x v="7"/>
    <n v="30779.99"/>
    <x v="6"/>
    <x v="1"/>
    <s v="STARRY UN"/>
    <x v="12"/>
  </r>
  <r>
    <x v="0"/>
    <x v="4"/>
    <x v="4"/>
    <x v="4"/>
    <x v="7"/>
    <n v="6897.23"/>
    <x v="6"/>
    <x v="1"/>
    <s v="ENERGISING UN"/>
    <x v="12"/>
  </r>
  <r>
    <x v="0"/>
    <x v="4"/>
    <x v="4"/>
    <x v="4"/>
    <x v="7"/>
    <n v="23031.98"/>
    <x v="6"/>
    <x v="1"/>
    <s v="CAMILA UN"/>
    <x v="5"/>
  </r>
  <r>
    <x v="0"/>
    <x v="4"/>
    <x v="4"/>
    <x v="4"/>
    <x v="7"/>
    <n v="5632.59"/>
    <x v="6"/>
    <x v="1"/>
    <s v="TIFFANY UN"/>
    <x v="6"/>
  </r>
  <r>
    <x v="0"/>
    <x v="4"/>
    <x v="4"/>
    <x v="4"/>
    <x v="7"/>
    <n v="9406.36"/>
    <x v="6"/>
    <x v="1"/>
    <s v="SUN LOVE UN"/>
    <x v="6"/>
  </r>
  <r>
    <x v="0"/>
    <x v="4"/>
    <x v="4"/>
    <x v="4"/>
    <x v="7"/>
    <n v="119448.5"/>
    <x v="6"/>
    <x v="1"/>
    <s v="MAGICREAM UN"/>
    <x v="6"/>
  </r>
  <r>
    <x v="0"/>
    <x v="4"/>
    <x v="4"/>
    <x v="4"/>
    <x v="7"/>
    <n v="6312.38"/>
    <x v="8"/>
    <x v="1"/>
    <s v="BLENDALIA UN"/>
    <x v="16"/>
  </r>
  <r>
    <x v="0"/>
    <x v="3"/>
    <x v="4"/>
    <x v="4"/>
    <x v="7"/>
    <n v="11734.56"/>
    <x v="5"/>
    <x v="1"/>
    <s v="SOFTY UN"/>
    <x v="17"/>
  </r>
  <r>
    <x v="0"/>
    <x v="3"/>
    <x v="4"/>
    <x v="4"/>
    <x v="7"/>
    <n v="17901.28"/>
    <x v="5"/>
    <x v="1"/>
    <s v="ANDROMEDA UN"/>
    <x v="7"/>
  </r>
  <r>
    <x v="0"/>
    <x v="3"/>
    <x v="4"/>
    <x v="4"/>
    <x v="7"/>
    <n v="16217.98"/>
    <x v="5"/>
    <x v="1"/>
    <s v="ASABA UN"/>
    <x v="7"/>
  </r>
  <r>
    <x v="0"/>
    <x v="3"/>
    <x v="4"/>
    <x v="4"/>
    <x v="7"/>
    <n v="17480.45"/>
    <x v="5"/>
    <x v="1"/>
    <s v="LUA DE MEL UN"/>
    <x v="7"/>
  </r>
  <r>
    <x v="0"/>
    <x v="3"/>
    <x v="4"/>
    <x v="4"/>
    <x v="7"/>
    <n v="1618.56"/>
    <x v="5"/>
    <x v="1"/>
    <s v="SOIE UN"/>
    <x v="7"/>
  </r>
  <r>
    <x v="0"/>
    <x v="4"/>
    <x v="4"/>
    <x v="4"/>
    <x v="7"/>
    <n v="5810.63"/>
    <x v="8"/>
    <x v="1"/>
    <s v="CRINOLINE UN"/>
    <x v="14"/>
  </r>
  <r>
    <x v="0"/>
    <x v="4"/>
    <x v="4"/>
    <x v="4"/>
    <x v="7"/>
    <n v="5891.56"/>
    <x v="8"/>
    <x v="1"/>
    <s v="CRINOLINE UN"/>
    <x v="14"/>
  </r>
  <r>
    <x v="0"/>
    <x v="3"/>
    <x v="5"/>
    <x v="5"/>
    <x v="7"/>
    <n v="43633.53"/>
    <x v="5"/>
    <x v="1"/>
    <s v="LUA DE MEL UN"/>
    <x v="7"/>
  </r>
  <r>
    <x v="0"/>
    <x v="3"/>
    <x v="5"/>
    <x v="5"/>
    <x v="7"/>
    <n v="18890.990000000002"/>
    <x v="5"/>
    <x v="1"/>
    <s v="SOIE UN"/>
    <x v="7"/>
  </r>
  <r>
    <x v="0"/>
    <x v="3"/>
    <x v="5"/>
    <x v="5"/>
    <x v="7"/>
    <n v="1202.98"/>
    <x v="5"/>
    <x v="1"/>
    <s v="NEW GEORG UN"/>
    <x v="7"/>
  </r>
  <r>
    <x v="0"/>
    <x v="3"/>
    <x v="5"/>
    <x v="5"/>
    <x v="7"/>
    <n v="8769.7099999999991"/>
    <x v="5"/>
    <x v="1"/>
    <s v="VIOLETA UN"/>
    <x v="7"/>
  </r>
  <r>
    <x v="2"/>
    <x v="0"/>
    <x v="6"/>
    <x v="6"/>
    <x v="8"/>
    <n v="44448.58"/>
    <x v="10"/>
    <x v="0"/>
    <s v="CITRASOL UN"/>
    <x v="15"/>
  </r>
  <r>
    <x v="2"/>
    <x v="0"/>
    <x v="6"/>
    <x v="6"/>
    <x v="8"/>
    <n v="50391.58"/>
    <x v="10"/>
    <x v="0"/>
    <s v="GREENISLE  UN"/>
    <x v="15"/>
  </r>
  <r>
    <x v="2"/>
    <x v="0"/>
    <x v="6"/>
    <x v="6"/>
    <x v="8"/>
    <n v="923613.32"/>
    <x v="10"/>
    <x v="0"/>
    <s v="JAFFAROME  UN"/>
    <x v="15"/>
  </r>
  <r>
    <x v="2"/>
    <x v="0"/>
    <x v="6"/>
    <x v="6"/>
    <x v="8"/>
    <n v="173481.77"/>
    <x v="10"/>
    <x v="0"/>
    <s v="COOLMINT UN"/>
    <x v="15"/>
  </r>
  <r>
    <x v="2"/>
    <x v="1"/>
    <x v="6"/>
    <x v="6"/>
    <x v="8"/>
    <n v="27267.74"/>
    <x v="7"/>
    <x v="0"/>
    <s v="REALISTIC UN"/>
    <x v="2"/>
  </r>
  <r>
    <x v="2"/>
    <x v="1"/>
    <x v="6"/>
    <x v="6"/>
    <x v="8"/>
    <n v="7959.16"/>
    <x v="1"/>
    <x v="0"/>
    <s v="NICOLA UN"/>
    <x v="2"/>
  </r>
  <r>
    <x v="2"/>
    <x v="3"/>
    <x v="6"/>
    <x v="6"/>
    <x v="8"/>
    <n v="5257.47"/>
    <x v="5"/>
    <x v="1"/>
    <s v="TROUBLESHOOTER UN"/>
    <x v="18"/>
  </r>
  <r>
    <x v="2"/>
    <x v="3"/>
    <x v="6"/>
    <x v="6"/>
    <x v="8"/>
    <n v="24538.65"/>
    <x v="5"/>
    <x v="1"/>
    <s v="MINT SHOOTER UN"/>
    <x v="18"/>
  </r>
  <r>
    <x v="2"/>
    <x v="3"/>
    <x v="6"/>
    <x v="6"/>
    <x v="8"/>
    <n v="1008.82"/>
    <x v="5"/>
    <x v="1"/>
    <s v="BASTOGNE UN"/>
    <x v="18"/>
  </r>
  <r>
    <x v="2"/>
    <x v="2"/>
    <x v="6"/>
    <x v="6"/>
    <x v="8"/>
    <n v="5306.11"/>
    <x v="2"/>
    <x v="1"/>
    <s v="BASILO"/>
    <x v="5"/>
  </r>
  <r>
    <x v="2"/>
    <x v="2"/>
    <x v="6"/>
    <x v="6"/>
    <x v="8"/>
    <n v="24999.39"/>
    <x v="2"/>
    <x v="1"/>
    <s v="CEDARO UN"/>
    <x v="5"/>
  </r>
  <r>
    <x v="2"/>
    <x v="2"/>
    <x v="6"/>
    <x v="6"/>
    <x v="8"/>
    <n v="8633.81"/>
    <x v="2"/>
    <x v="1"/>
    <s v="JULIEN"/>
    <x v="5"/>
  </r>
  <r>
    <x v="2"/>
    <x v="2"/>
    <x v="6"/>
    <x v="6"/>
    <x v="8"/>
    <n v="6152.91"/>
    <x v="4"/>
    <x v="1"/>
    <s v="LOTUS TEA UN"/>
    <x v="5"/>
  </r>
  <r>
    <x v="2"/>
    <x v="2"/>
    <x v="6"/>
    <x v="6"/>
    <x v="8"/>
    <n v="118663.27"/>
    <x v="4"/>
    <x v="1"/>
    <s v="GINGER TEA UN"/>
    <x v="5"/>
  </r>
  <r>
    <x v="2"/>
    <x v="3"/>
    <x v="6"/>
    <x v="6"/>
    <x v="8"/>
    <n v="24959.29"/>
    <x v="5"/>
    <x v="1"/>
    <s v="TATAMI UN"/>
    <x v="5"/>
  </r>
  <r>
    <x v="2"/>
    <x v="3"/>
    <x v="6"/>
    <x v="6"/>
    <x v="8"/>
    <n v="80881.259999999995"/>
    <x v="5"/>
    <x v="1"/>
    <s v="TATAMI UN"/>
    <x v="5"/>
  </r>
  <r>
    <x v="2"/>
    <x v="3"/>
    <x v="6"/>
    <x v="6"/>
    <x v="8"/>
    <n v="23350.87"/>
    <x v="5"/>
    <x v="1"/>
    <s v="TATAMI UN"/>
    <x v="5"/>
  </r>
  <r>
    <x v="2"/>
    <x v="3"/>
    <x v="6"/>
    <x v="6"/>
    <x v="8"/>
    <n v="17202.86"/>
    <x v="5"/>
    <x v="1"/>
    <s v="GREEN TEA UN"/>
    <x v="5"/>
  </r>
  <r>
    <x v="2"/>
    <x v="3"/>
    <x v="6"/>
    <x v="6"/>
    <x v="8"/>
    <n v="4256.8100000000004"/>
    <x v="5"/>
    <x v="1"/>
    <s v="BALIMILK UN"/>
    <x v="5"/>
  </r>
  <r>
    <x v="2"/>
    <x v="3"/>
    <x v="6"/>
    <x v="6"/>
    <x v="8"/>
    <n v="1414.25"/>
    <x v="5"/>
    <x v="1"/>
    <s v="MANDOLA UN"/>
    <x v="5"/>
  </r>
  <r>
    <x v="2"/>
    <x v="3"/>
    <x v="6"/>
    <x v="6"/>
    <x v="8"/>
    <n v="699.19"/>
    <x v="5"/>
    <x v="1"/>
    <s v="SNOOPY UN"/>
    <x v="5"/>
  </r>
  <r>
    <x v="2"/>
    <x v="3"/>
    <x v="6"/>
    <x v="6"/>
    <x v="8"/>
    <n v="31991.43"/>
    <x v="5"/>
    <x v="1"/>
    <s v="POV UN"/>
    <x v="5"/>
  </r>
  <r>
    <x v="2"/>
    <x v="4"/>
    <x v="6"/>
    <x v="6"/>
    <x v="8"/>
    <n v="76315.850000000006"/>
    <x v="9"/>
    <x v="1"/>
    <s v="CHERRY TEA UN"/>
    <x v="5"/>
  </r>
  <r>
    <x v="2"/>
    <x v="4"/>
    <x v="6"/>
    <x v="6"/>
    <x v="8"/>
    <n v="76565.52"/>
    <x v="9"/>
    <x v="1"/>
    <s v="HINOKI UN"/>
    <x v="5"/>
  </r>
  <r>
    <x v="2"/>
    <x v="4"/>
    <x v="6"/>
    <x v="6"/>
    <x v="8"/>
    <n v="61415.22"/>
    <x v="9"/>
    <x v="1"/>
    <s v="HINOKI UN"/>
    <x v="5"/>
  </r>
  <r>
    <x v="2"/>
    <x v="4"/>
    <x v="6"/>
    <x v="6"/>
    <x v="8"/>
    <n v="94779.12"/>
    <x v="6"/>
    <x v="1"/>
    <s v="MANDAMINT UN"/>
    <x v="5"/>
  </r>
  <r>
    <x v="2"/>
    <x v="3"/>
    <x v="6"/>
    <x v="6"/>
    <x v="8"/>
    <n v="650.54999999999995"/>
    <x v="5"/>
    <x v="1"/>
    <s v="CHERRY TEA UN"/>
    <x v="7"/>
  </r>
  <r>
    <x v="2"/>
    <x v="3"/>
    <x v="6"/>
    <x v="6"/>
    <x v="8"/>
    <n v="6573.41"/>
    <x v="5"/>
    <x v="1"/>
    <s v="CHERI"/>
    <x v="7"/>
  </r>
  <r>
    <x v="2"/>
    <x v="3"/>
    <x v="6"/>
    <x v="6"/>
    <x v="8"/>
    <n v="29020.66"/>
    <x v="5"/>
    <x v="1"/>
    <s v="BUDGET BALANCE"/>
    <x v="7"/>
  </r>
  <r>
    <x v="3"/>
    <x v="1"/>
    <x v="7"/>
    <x v="7"/>
    <x v="9"/>
    <n v="85702.12"/>
    <x v="7"/>
    <x v="0"/>
    <s v="CASTLE UN"/>
    <x v="8"/>
  </r>
  <r>
    <x v="3"/>
    <x v="1"/>
    <x v="7"/>
    <x v="7"/>
    <x v="9"/>
    <n v="18042.57"/>
    <x v="7"/>
    <x v="0"/>
    <s v="BUDGET BALANCE"/>
    <x v="8"/>
  </r>
  <r>
    <x v="3"/>
    <x v="0"/>
    <x v="7"/>
    <x v="7"/>
    <x v="9"/>
    <n v="7058.37"/>
    <x v="0"/>
    <x v="0"/>
    <s v="BLEACHFUN UN"/>
    <x v="5"/>
  </r>
  <r>
    <x v="3"/>
    <x v="0"/>
    <x v="7"/>
    <x v="7"/>
    <x v="9"/>
    <n v="1999.2"/>
    <x v="0"/>
    <x v="0"/>
    <s v="BLEACHFUN UN"/>
    <x v="5"/>
  </r>
  <r>
    <x v="3"/>
    <x v="0"/>
    <x v="7"/>
    <x v="7"/>
    <x v="9"/>
    <n v="12498.61"/>
    <x v="0"/>
    <x v="0"/>
    <s v="SALOME UN"/>
    <x v="5"/>
  </r>
  <r>
    <x v="3"/>
    <x v="4"/>
    <x v="7"/>
    <x v="7"/>
    <x v="9"/>
    <n v="12294.05"/>
    <x v="9"/>
    <x v="1"/>
    <s v="SKY UN"/>
    <x v="11"/>
  </r>
  <r>
    <x v="3"/>
    <x v="4"/>
    <x v="7"/>
    <x v="7"/>
    <x v="9"/>
    <n v="8165.78"/>
    <x v="9"/>
    <x v="1"/>
    <s v="DREAM SOFT UN"/>
    <x v="11"/>
  </r>
  <r>
    <x v="2"/>
    <x v="0"/>
    <x v="8"/>
    <x v="8"/>
    <x v="8"/>
    <n v="7321.3"/>
    <x v="0"/>
    <x v="0"/>
    <s v="TIGER AZ UN"/>
    <x v="0"/>
  </r>
  <r>
    <x v="2"/>
    <x v="0"/>
    <x v="8"/>
    <x v="8"/>
    <x v="8"/>
    <n v="10230.64"/>
    <x v="0"/>
    <x v="0"/>
    <s v="WHITE SURPRISE UN"/>
    <x v="0"/>
  </r>
  <r>
    <x v="2"/>
    <x v="0"/>
    <x v="8"/>
    <x v="8"/>
    <x v="8"/>
    <n v="3117.15"/>
    <x v="0"/>
    <x v="0"/>
    <s v="WHITE SURPRISE UN"/>
    <x v="0"/>
  </r>
  <r>
    <x v="2"/>
    <x v="0"/>
    <x v="8"/>
    <x v="8"/>
    <x v="8"/>
    <n v="9799.0300000000007"/>
    <x v="0"/>
    <x v="0"/>
    <s v="NATURALIA UN"/>
    <x v="0"/>
  </r>
  <r>
    <x v="2"/>
    <x v="0"/>
    <x v="8"/>
    <x v="8"/>
    <x v="8"/>
    <n v="4635.76"/>
    <x v="0"/>
    <x v="0"/>
    <s v="BLUE SNOW UN"/>
    <x v="0"/>
  </r>
  <r>
    <x v="2"/>
    <x v="0"/>
    <x v="8"/>
    <x v="8"/>
    <x v="8"/>
    <n v="6314.22"/>
    <x v="0"/>
    <x v="0"/>
    <s v="SONIC UN"/>
    <x v="0"/>
  </r>
  <r>
    <x v="2"/>
    <x v="1"/>
    <x v="8"/>
    <x v="8"/>
    <x v="8"/>
    <n v="1666.5"/>
    <x v="7"/>
    <x v="0"/>
    <s v="SATIN UN"/>
    <x v="8"/>
  </r>
  <r>
    <x v="2"/>
    <x v="1"/>
    <x v="8"/>
    <x v="8"/>
    <x v="8"/>
    <n v="2174.88"/>
    <x v="7"/>
    <x v="0"/>
    <s v="WHITE COTTON UN"/>
    <x v="8"/>
  </r>
  <r>
    <x v="2"/>
    <x v="1"/>
    <x v="8"/>
    <x v="8"/>
    <x v="8"/>
    <n v="12179.32"/>
    <x v="7"/>
    <x v="0"/>
    <s v="JANGO UN"/>
    <x v="8"/>
  </r>
  <r>
    <x v="2"/>
    <x v="1"/>
    <x v="8"/>
    <x v="8"/>
    <x v="8"/>
    <n v="13701.76"/>
    <x v="7"/>
    <x v="0"/>
    <s v="TEA MANDARIN UN"/>
    <x v="8"/>
  </r>
  <r>
    <x v="2"/>
    <x v="1"/>
    <x v="8"/>
    <x v="8"/>
    <x v="8"/>
    <n v="6035.3"/>
    <x v="7"/>
    <x v="0"/>
    <s v="TEA MANDARIN UN"/>
    <x v="8"/>
  </r>
  <r>
    <x v="2"/>
    <x v="1"/>
    <x v="8"/>
    <x v="8"/>
    <x v="8"/>
    <n v="7224.8"/>
    <x v="7"/>
    <x v="0"/>
    <s v="SHERRY UN"/>
    <x v="8"/>
  </r>
  <r>
    <x v="2"/>
    <x v="1"/>
    <x v="8"/>
    <x v="8"/>
    <x v="8"/>
    <n v="151720.79999999999"/>
    <x v="7"/>
    <x v="0"/>
    <s v="PURE WHITE UN"/>
    <x v="8"/>
  </r>
  <r>
    <x v="2"/>
    <x v="1"/>
    <x v="8"/>
    <x v="8"/>
    <x v="8"/>
    <n v="18062"/>
    <x v="7"/>
    <x v="0"/>
    <s v="PURE WHITE UN"/>
    <x v="8"/>
  </r>
  <r>
    <x v="2"/>
    <x v="1"/>
    <x v="8"/>
    <x v="8"/>
    <x v="8"/>
    <n v="64003.5"/>
    <x v="7"/>
    <x v="0"/>
    <s v="COUP DE FOUDRE UN"/>
    <x v="8"/>
  </r>
  <r>
    <x v="2"/>
    <x v="1"/>
    <x v="8"/>
    <x v="8"/>
    <x v="8"/>
    <n v="45253.52"/>
    <x v="7"/>
    <x v="0"/>
    <s v="COUP DE FOUDRE UN"/>
    <x v="8"/>
  </r>
  <r>
    <x v="2"/>
    <x v="1"/>
    <x v="8"/>
    <x v="8"/>
    <x v="8"/>
    <n v="15056.48"/>
    <x v="7"/>
    <x v="0"/>
    <s v="BUDGET BALANCE"/>
    <x v="8"/>
  </r>
  <r>
    <x v="2"/>
    <x v="0"/>
    <x v="8"/>
    <x v="8"/>
    <x v="8"/>
    <n v="4398.2299999999996"/>
    <x v="10"/>
    <x v="0"/>
    <s v="LEMONTIME UN"/>
    <x v="15"/>
  </r>
  <r>
    <x v="2"/>
    <x v="0"/>
    <x v="8"/>
    <x v="8"/>
    <x v="8"/>
    <n v="8561.42"/>
    <x v="10"/>
    <x v="0"/>
    <s v="JAFFAROME UN"/>
    <x v="15"/>
  </r>
  <r>
    <x v="2"/>
    <x v="0"/>
    <x v="8"/>
    <x v="8"/>
    <x v="8"/>
    <n v="4280.71"/>
    <x v="10"/>
    <x v="0"/>
    <s v="MICROLIGHT UN"/>
    <x v="15"/>
  </r>
  <r>
    <x v="2"/>
    <x v="0"/>
    <x v="8"/>
    <x v="8"/>
    <x v="8"/>
    <n v="1415.03"/>
    <x v="10"/>
    <x v="0"/>
    <s v="REALISTIC UN"/>
    <x v="15"/>
  </r>
  <r>
    <x v="2"/>
    <x v="0"/>
    <x v="8"/>
    <x v="8"/>
    <x v="8"/>
    <n v="3955.56"/>
    <x v="10"/>
    <x v="0"/>
    <s v="REALISTIC UN"/>
    <x v="15"/>
  </r>
  <r>
    <x v="2"/>
    <x v="0"/>
    <x v="8"/>
    <x v="8"/>
    <x v="8"/>
    <n v="13457.07"/>
    <x v="10"/>
    <x v="0"/>
    <s v="COOLMINT UN"/>
    <x v="15"/>
  </r>
  <r>
    <x v="2"/>
    <x v="0"/>
    <x v="8"/>
    <x v="8"/>
    <x v="8"/>
    <n v="54915.72"/>
    <x v="10"/>
    <x v="0"/>
    <s v="COOLMINT UN"/>
    <x v="15"/>
  </r>
  <r>
    <x v="2"/>
    <x v="0"/>
    <x v="8"/>
    <x v="8"/>
    <x v="8"/>
    <n v="14680.44"/>
    <x v="10"/>
    <x v="0"/>
    <s v="GINGERLEMON UN"/>
    <x v="15"/>
  </r>
  <r>
    <x v="2"/>
    <x v="1"/>
    <x v="8"/>
    <x v="8"/>
    <x v="8"/>
    <n v="82834.28"/>
    <x v="1"/>
    <x v="0"/>
    <s v="GREEN TEA UN"/>
    <x v="5"/>
  </r>
  <r>
    <x v="2"/>
    <x v="1"/>
    <x v="8"/>
    <x v="8"/>
    <x v="8"/>
    <n v="23630.02"/>
    <x v="1"/>
    <x v="0"/>
    <s v="ARLEQUIN UN"/>
    <x v="2"/>
  </r>
  <r>
    <x v="2"/>
    <x v="1"/>
    <x v="8"/>
    <x v="8"/>
    <x v="8"/>
    <n v="40159.050000000003"/>
    <x v="1"/>
    <x v="0"/>
    <s v="BALLADE UN"/>
    <x v="2"/>
  </r>
  <r>
    <x v="2"/>
    <x v="1"/>
    <x v="8"/>
    <x v="8"/>
    <x v="8"/>
    <n v="1947.55"/>
    <x v="1"/>
    <x v="0"/>
    <s v="BALLADETA UN"/>
    <x v="2"/>
  </r>
  <r>
    <x v="2"/>
    <x v="1"/>
    <x v="8"/>
    <x v="8"/>
    <x v="8"/>
    <n v="63941.47"/>
    <x v="1"/>
    <x v="0"/>
    <s v="NICOLA UN"/>
    <x v="2"/>
  </r>
  <r>
    <x v="2"/>
    <x v="1"/>
    <x v="8"/>
    <x v="8"/>
    <x v="8"/>
    <n v="8800.2900000000009"/>
    <x v="1"/>
    <x v="0"/>
    <s v="SUNNAIRE UN"/>
    <x v="2"/>
  </r>
  <r>
    <x v="2"/>
    <x v="1"/>
    <x v="8"/>
    <x v="8"/>
    <x v="8"/>
    <n v="6756.48"/>
    <x v="1"/>
    <x v="0"/>
    <s v="FLORAVERA UN"/>
    <x v="2"/>
  </r>
  <r>
    <x v="2"/>
    <x v="1"/>
    <x v="8"/>
    <x v="8"/>
    <x v="8"/>
    <n v="10230.64"/>
    <x v="1"/>
    <x v="0"/>
    <s v="BUDGET BALANCE"/>
    <x v="2"/>
  </r>
  <r>
    <x v="2"/>
    <x v="2"/>
    <x v="8"/>
    <x v="8"/>
    <x v="8"/>
    <n v="1880.94"/>
    <x v="3"/>
    <x v="1"/>
    <s v="GLACIER UN"/>
    <x v="3"/>
  </r>
  <r>
    <x v="2"/>
    <x v="2"/>
    <x v="8"/>
    <x v="8"/>
    <x v="8"/>
    <n v="8840.7099999999991"/>
    <x v="3"/>
    <x v="1"/>
    <s v="LEGEND UN"/>
    <x v="3"/>
  </r>
  <r>
    <x v="2"/>
    <x v="4"/>
    <x v="8"/>
    <x v="8"/>
    <x v="8"/>
    <n v="4811.92"/>
    <x v="9"/>
    <x v="1"/>
    <s v="SKY UN"/>
    <x v="11"/>
  </r>
  <r>
    <x v="2"/>
    <x v="2"/>
    <x v="8"/>
    <x v="8"/>
    <x v="8"/>
    <n v="11317.64"/>
    <x v="3"/>
    <x v="1"/>
    <s v="HYDROGEN UN"/>
    <x v="5"/>
  </r>
  <r>
    <x v="2"/>
    <x v="4"/>
    <x v="8"/>
    <x v="8"/>
    <x v="8"/>
    <n v="41348.639999999999"/>
    <x v="9"/>
    <x v="1"/>
    <s v="LAGOYA UN"/>
    <x v="6"/>
  </r>
  <r>
    <x v="1"/>
    <x v="5"/>
    <x v="9"/>
    <x v="9"/>
    <x v="10"/>
    <n v="32949.43"/>
    <x v="11"/>
    <x v="2"/>
    <s v="CONGO"/>
    <x v="19"/>
  </r>
  <r>
    <x v="1"/>
    <x v="5"/>
    <x v="9"/>
    <x v="9"/>
    <x v="10"/>
    <n v="31671.69"/>
    <x v="11"/>
    <x v="2"/>
    <s v="CONGO"/>
    <x v="19"/>
  </r>
  <r>
    <x v="1"/>
    <x v="5"/>
    <x v="9"/>
    <x v="9"/>
    <x v="10"/>
    <n v="31671.69"/>
    <x v="11"/>
    <x v="2"/>
    <s v="SAPOTION"/>
    <x v="19"/>
  </r>
  <r>
    <x v="1"/>
    <x v="5"/>
    <x v="9"/>
    <x v="9"/>
    <x v="10"/>
    <n v="9120.9"/>
    <x v="11"/>
    <x v="2"/>
    <s v="ALENCON UN"/>
    <x v="19"/>
  </r>
  <r>
    <x v="1"/>
    <x v="5"/>
    <x v="9"/>
    <x v="9"/>
    <x v="10"/>
    <n v="14721.22"/>
    <x v="11"/>
    <x v="2"/>
    <s v="ALENCON UN"/>
    <x v="19"/>
  </r>
  <r>
    <x v="1"/>
    <x v="5"/>
    <x v="9"/>
    <x v="9"/>
    <x v="10"/>
    <n v="6874.73"/>
    <x v="11"/>
    <x v="2"/>
    <s v="ALENCON UN"/>
    <x v="19"/>
  </r>
  <r>
    <x v="1"/>
    <x v="5"/>
    <x v="9"/>
    <x v="9"/>
    <x v="10"/>
    <n v="1003.16"/>
    <x v="11"/>
    <x v="2"/>
    <s v="Rebate Provision Fine Fragrance"/>
    <x v="19"/>
  </r>
  <r>
    <x v="1"/>
    <x v="5"/>
    <x v="9"/>
    <x v="9"/>
    <x v="10"/>
    <n v="3438.76"/>
    <x v="12"/>
    <x v="2"/>
    <s v="AFICIONADO UN"/>
    <x v="19"/>
  </r>
  <r>
    <x v="1"/>
    <x v="5"/>
    <x v="9"/>
    <x v="9"/>
    <x v="10"/>
    <n v="103232.37"/>
    <x v="12"/>
    <x v="2"/>
    <s v="DETAILS"/>
    <x v="19"/>
  </r>
  <r>
    <x v="1"/>
    <x v="5"/>
    <x v="9"/>
    <x v="9"/>
    <x v="10"/>
    <n v="76571.56"/>
    <x v="12"/>
    <x v="2"/>
    <s v="MAURITANIANE"/>
    <x v="19"/>
  </r>
  <r>
    <x v="1"/>
    <x v="5"/>
    <x v="9"/>
    <x v="9"/>
    <x v="10"/>
    <n v="6455.21"/>
    <x v="12"/>
    <x v="2"/>
    <s v="MEDITERRANEAN NAVIGATOR"/>
    <x v="19"/>
  </r>
  <r>
    <x v="1"/>
    <x v="1"/>
    <x v="9"/>
    <x v="9"/>
    <x v="10"/>
    <n v="59516.98"/>
    <x v="7"/>
    <x v="0"/>
    <s v="PURITY UN"/>
    <x v="8"/>
  </r>
  <r>
    <x v="1"/>
    <x v="2"/>
    <x v="9"/>
    <x v="9"/>
    <x v="10"/>
    <n v="401541.21"/>
    <x v="3"/>
    <x v="1"/>
    <s v="SLEEKWOODS UN"/>
    <x v="3"/>
  </r>
  <r>
    <x v="1"/>
    <x v="4"/>
    <x v="9"/>
    <x v="9"/>
    <x v="10"/>
    <n v="400.96"/>
    <x v="9"/>
    <x v="1"/>
    <s v="BUDGET BALANCE"/>
    <x v="11"/>
  </r>
  <r>
    <x v="1"/>
    <x v="3"/>
    <x v="9"/>
    <x v="9"/>
    <x v="10"/>
    <n v="93222.38"/>
    <x v="5"/>
    <x v="1"/>
    <s v="VIGORFLOR UN"/>
    <x v="5"/>
  </r>
  <r>
    <x v="1"/>
    <x v="3"/>
    <x v="9"/>
    <x v="9"/>
    <x v="10"/>
    <n v="3655.94"/>
    <x v="5"/>
    <x v="1"/>
    <s v="VIGORFLOR UN"/>
    <x v="5"/>
  </r>
  <r>
    <x v="1"/>
    <x v="3"/>
    <x v="9"/>
    <x v="9"/>
    <x v="10"/>
    <n v="16370.07"/>
    <x v="5"/>
    <x v="1"/>
    <s v="VIGORFLOR UN"/>
    <x v="5"/>
  </r>
  <r>
    <x v="1"/>
    <x v="3"/>
    <x v="9"/>
    <x v="9"/>
    <x v="10"/>
    <n v="19098.41"/>
    <x v="5"/>
    <x v="1"/>
    <s v="VIGORFLOR UN"/>
    <x v="5"/>
  </r>
  <r>
    <x v="1"/>
    <x v="3"/>
    <x v="9"/>
    <x v="9"/>
    <x v="10"/>
    <n v="16370.07"/>
    <x v="5"/>
    <x v="1"/>
    <s v="VIGORFLOR UN"/>
    <x v="5"/>
  </r>
  <r>
    <x v="1"/>
    <x v="3"/>
    <x v="9"/>
    <x v="9"/>
    <x v="10"/>
    <n v="15709.7"/>
    <x v="5"/>
    <x v="1"/>
    <s v="VIGORFLOR UN"/>
    <x v="5"/>
  </r>
  <r>
    <x v="1"/>
    <x v="3"/>
    <x v="9"/>
    <x v="9"/>
    <x v="10"/>
    <n v="6857.41"/>
    <x v="5"/>
    <x v="1"/>
    <s v="VIGORFLOR UN"/>
    <x v="5"/>
  </r>
  <r>
    <x v="1"/>
    <x v="3"/>
    <x v="9"/>
    <x v="9"/>
    <x v="10"/>
    <n v="1130.01"/>
    <x v="5"/>
    <x v="1"/>
    <s v="VIGORFLOR UN"/>
    <x v="5"/>
  </r>
  <r>
    <x v="1"/>
    <x v="3"/>
    <x v="9"/>
    <x v="9"/>
    <x v="10"/>
    <n v="3030.28"/>
    <x v="5"/>
    <x v="1"/>
    <s v="VIGOCOLOR UN"/>
    <x v="5"/>
  </r>
  <r>
    <x v="1"/>
    <x v="3"/>
    <x v="9"/>
    <x v="9"/>
    <x v="10"/>
    <n v="205211.75"/>
    <x v="5"/>
    <x v="1"/>
    <s v="ROUGE PLAISIR UN"/>
    <x v="5"/>
  </r>
  <r>
    <x v="1"/>
    <x v="3"/>
    <x v="9"/>
    <x v="9"/>
    <x v="10"/>
    <n v="288688.65999999997"/>
    <x v="5"/>
    <x v="1"/>
    <s v="FANTASTIQUE UN"/>
    <x v="5"/>
  </r>
  <r>
    <x v="1"/>
    <x v="3"/>
    <x v="9"/>
    <x v="9"/>
    <x v="10"/>
    <n v="31770.240000000002"/>
    <x v="5"/>
    <x v="1"/>
    <s v="FANTASTIQUE UN"/>
    <x v="5"/>
  </r>
  <r>
    <x v="1"/>
    <x v="3"/>
    <x v="9"/>
    <x v="9"/>
    <x v="10"/>
    <n v="3126.9"/>
    <x v="5"/>
    <x v="1"/>
    <s v="FANTASTIQUE UN"/>
    <x v="5"/>
  </r>
  <r>
    <x v="1"/>
    <x v="3"/>
    <x v="9"/>
    <x v="9"/>
    <x v="10"/>
    <n v="1515.19"/>
    <x v="5"/>
    <x v="1"/>
    <s v="FANTASTIQUE UN"/>
    <x v="5"/>
  </r>
  <r>
    <x v="1"/>
    <x v="4"/>
    <x v="9"/>
    <x v="9"/>
    <x v="10"/>
    <n v="15186.23"/>
    <x v="9"/>
    <x v="1"/>
    <s v="MISTY GREEN UN"/>
    <x v="5"/>
  </r>
  <r>
    <x v="1"/>
    <x v="4"/>
    <x v="9"/>
    <x v="9"/>
    <x v="10"/>
    <n v="407.96"/>
    <x v="6"/>
    <x v="1"/>
    <s v="PROVIDE UN"/>
    <x v="5"/>
  </r>
  <r>
    <x v="1"/>
    <x v="4"/>
    <x v="9"/>
    <x v="9"/>
    <x v="10"/>
    <n v="455"/>
    <x v="6"/>
    <x v="1"/>
    <s v="BUDGET BALANCE"/>
    <x v="6"/>
  </r>
  <r>
    <x v="1"/>
    <x v="4"/>
    <x v="9"/>
    <x v="9"/>
    <x v="10"/>
    <n v="450.96"/>
    <x v="6"/>
    <x v="1"/>
    <s v="LERALIA"/>
    <x v="16"/>
  </r>
  <r>
    <x v="1"/>
    <x v="3"/>
    <x v="9"/>
    <x v="9"/>
    <x v="10"/>
    <n v="9004.82"/>
    <x v="5"/>
    <x v="1"/>
    <s v="SUAVANIL UN"/>
    <x v="17"/>
  </r>
  <r>
    <x v="1"/>
    <x v="3"/>
    <x v="9"/>
    <x v="9"/>
    <x v="10"/>
    <n v="848.94"/>
    <x v="5"/>
    <x v="1"/>
    <s v="DEEP BLUE UN"/>
    <x v="17"/>
  </r>
  <r>
    <x v="1"/>
    <x v="3"/>
    <x v="9"/>
    <x v="9"/>
    <x v="10"/>
    <n v="6011.87"/>
    <x v="5"/>
    <x v="1"/>
    <s v="DEEP BLUE UN"/>
    <x v="17"/>
  </r>
  <r>
    <x v="1"/>
    <x v="3"/>
    <x v="9"/>
    <x v="9"/>
    <x v="10"/>
    <n v="6172.52"/>
    <x v="5"/>
    <x v="1"/>
    <s v="DEEP BLUE UN"/>
    <x v="17"/>
  </r>
  <r>
    <x v="1"/>
    <x v="3"/>
    <x v="9"/>
    <x v="9"/>
    <x v="10"/>
    <n v="1783.58"/>
    <x v="5"/>
    <x v="1"/>
    <s v="DEEP BLUE UN"/>
    <x v="17"/>
  </r>
  <r>
    <x v="1"/>
    <x v="3"/>
    <x v="9"/>
    <x v="9"/>
    <x v="10"/>
    <n v="12373.96"/>
    <x v="5"/>
    <x v="1"/>
    <s v="DEEP BLUE UN"/>
    <x v="17"/>
  </r>
  <r>
    <x v="1"/>
    <x v="3"/>
    <x v="9"/>
    <x v="9"/>
    <x v="10"/>
    <n v="825.77"/>
    <x v="5"/>
    <x v="1"/>
    <s v="COCKTAIL TIME UN"/>
    <x v="17"/>
  </r>
  <r>
    <x v="1"/>
    <x v="3"/>
    <x v="9"/>
    <x v="9"/>
    <x v="10"/>
    <n v="44907.47"/>
    <x v="5"/>
    <x v="1"/>
    <s v="COCKTAIL TIME UN"/>
    <x v="17"/>
  </r>
  <r>
    <x v="1"/>
    <x v="3"/>
    <x v="9"/>
    <x v="9"/>
    <x v="10"/>
    <n v="9979.83"/>
    <x v="5"/>
    <x v="1"/>
    <s v="PLAISIR D'EAU UN"/>
    <x v="17"/>
  </r>
  <r>
    <x v="1"/>
    <x v="3"/>
    <x v="9"/>
    <x v="9"/>
    <x v="10"/>
    <n v="47919.86"/>
    <x v="5"/>
    <x v="1"/>
    <s v="INSOUCIANCE UN"/>
    <x v="17"/>
  </r>
  <r>
    <x v="1"/>
    <x v="3"/>
    <x v="9"/>
    <x v="9"/>
    <x v="10"/>
    <n v="73049.259999999995"/>
    <x v="5"/>
    <x v="1"/>
    <s v="AQUARELLE UN"/>
    <x v="17"/>
  </r>
  <r>
    <x v="1"/>
    <x v="3"/>
    <x v="9"/>
    <x v="9"/>
    <x v="10"/>
    <n v="-125967.16"/>
    <x v="5"/>
    <x v="1"/>
    <s v="HAPPY MELON UN"/>
    <x v="17"/>
  </r>
  <r>
    <x v="1"/>
    <x v="3"/>
    <x v="9"/>
    <x v="9"/>
    <x v="10"/>
    <n v="212506.94"/>
    <x v="5"/>
    <x v="1"/>
    <s v="MANGO PEACH UN"/>
    <x v="17"/>
  </r>
  <r>
    <x v="1"/>
    <x v="3"/>
    <x v="9"/>
    <x v="9"/>
    <x v="10"/>
    <n v="56175.66"/>
    <x v="5"/>
    <x v="1"/>
    <s v="RUBY  UN"/>
    <x v="17"/>
  </r>
  <r>
    <x v="1"/>
    <x v="4"/>
    <x v="9"/>
    <x v="9"/>
    <x v="10"/>
    <n v="56284.26"/>
    <x v="9"/>
    <x v="1"/>
    <s v="DEEP BLUE UN"/>
    <x v="17"/>
  </r>
  <r>
    <x v="1"/>
    <x v="4"/>
    <x v="9"/>
    <x v="9"/>
    <x v="10"/>
    <n v="12507.61"/>
    <x v="9"/>
    <x v="1"/>
    <s v="COCKTAIL TIME UN"/>
    <x v="17"/>
  </r>
  <r>
    <x v="1"/>
    <x v="4"/>
    <x v="9"/>
    <x v="9"/>
    <x v="10"/>
    <n v="19889.11"/>
    <x v="9"/>
    <x v="1"/>
    <s v="COCKTAIL TIME UN"/>
    <x v="17"/>
  </r>
  <r>
    <x v="1"/>
    <x v="4"/>
    <x v="9"/>
    <x v="9"/>
    <x v="10"/>
    <n v="1938.27"/>
    <x v="9"/>
    <x v="1"/>
    <s v="RUBY  UN"/>
    <x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">
  <r>
    <x v="0"/>
    <x v="0"/>
    <n v="3"/>
    <n v="87"/>
    <n v="261"/>
  </r>
  <r>
    <x v="1"/>
    <x v="1"/>
    <n v="5"/>
    <n v="1200"/>
    <n v="6000"/>
  </r>
  <r>
    <x v="2"/>
    <x v="2"/>
    <n v="6"/>
    <n v="350"/>
    <n v="2100"/>
  </r>
  <r>
    <x v="3"/>
    <x v="3"/>
    <n v="7"/>
    <n v="700"/>
    <n v="4900"/>
  </r>
  <r>
    <x v="3"/>
    <x v="4"/>
    <n v="8"/>
    <n v="3000"/>
    <n v="24000"/>
  </r>
  <r>
    <x v="4"/>
    <x v="2"/>
    <n v="8"/>
    <n v="220"/>
    <n v="1760"/>
  </r>
  <r>
    <x v="0"/>
    <x v="5"/>
    <n v="9"/>
    <n v="80"/>
    <n v="720"/>
  </r>
  <r>
    <x v="5"/>
    <x v="4"/>
    <n v="10"/>
    <n v="2500"/>
    <n v="25000"/>
  </r>
  <r>
    <x v="2"/>
    <x v="2"/>
    <n v="11"/>
    <n v="350"/>
    <n v="3850"/>
  </r>
  <r>
    <x v="6"/>
    <x v="1"/>
    <n v="12"/>
    <n v="1200"/>
    <n v="14400"/>
  </r>
  <r>
    <x v="7"/>
    <x v="2"/>
    <n v="12"/>
    <n v="220"/>
    <n v="2640"/>
  </r>
  <r>
    <x v="4"/>
    <x v="6"/>
    <n v="12"/>
    <n v="500"/>
    <n v="6000"/>
  </r>
  <r>
    <x v="4"/>
    <x v="2"/>
    <n v="12"/>
    <n v="200"/>
    <n v="2400"/>
  </r>
  <r>
    <x v="5"/>
    <x v="1"/>
    <n v="12"/>
    <n v="456"/>
    <n v="5472"/>
  </r>
  <r>
    <x v="7"/>
    <x v="6"/>
    <n v="13"/>
    <n v="700"/>
    <n v="9100"/>
  </r>
  <r>
    <x v="4"/>
    <x v="6"/>
    <n v="15"/>
    <n v="750"/>
    <n v="11250"/>
  </r>
  <r>
    <x v="4"/>
    <x v="2"/>
    <n v="15"/>
    <n v="356"/>
    <n v="5340"/>
  </r>
  <r>
    <x v="7"/>
    <x v="1"/>
    <n v="32"/>
    <n v="1500"/>
    <n v="48000"/>
  </r>
  <r>
    <x v="1"/>
    <x v="7"/>
    <n v="45"/>
    <n v="800"/>
    <n v="36000"/>
  </r>
  <r>
    <x v="4"/>
    <x v="8"/>
    <n v="51"/>
    <n v="300"/>
    <n v="15300"/>
  </r>
  <r>
    <x v="6"/>
    <x v="6"/>
    <n v="65"/>
    <n v="400"/>
    <n v="26000"/>
  </r>
  <r>
    <x v="0"/>
    <x v="9"/>
    <n v="65"/>
    <n v="400"/>
    <n v="26000"/>
  </r>
  <r>
    <x v="5"/>
    <x v="6"/>
    <n v="65"/>
    <n v="600"/>
    <n v="39000"/>
  </r>
  <r>
    <x v="2"/>
    <x v="2"/>
    <n v="74"/>
    <n v="220"/>
    <n v="16280"/>
  </r>
  <r>
    <x v="0"/>
    <x v="9"/>
    <n v="75"/>
    <n v="400"/>
    <n v="30000"/>
  </r>
  <r>
    <x v="6"/>
    <x v="6"/>
    <n v="89"/>
    <n v="400"/>
    <n v="35600"/>
  </r>
  <r>
    <x v="2"/>
    <x v="2"/>
    <n v="97"/>
    <n v="350"/>
    <n v="339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G3:H14" firstHeaderRow="1" firstDataRow="1" firstDataCol="1" rowPageCount="1" colPageCount="1"/>
  <pivotFields count="5">
    <pivotField axis="axisPage" showAll="0">
      <items count="9">
        <item x="6"/>
        <item x="1"/>
        <item x="3"/>
        <item x="7"/>
        <item x="0"/>
        <item x="4"/>
        <item x="2"/>
        <item x="5"/>
        <item t="default"/>
      </items>
    </pivotField>
    <pivotField axis="axisRow" showAll="0">
      <items count="11">
        <item x="2"/>
        <item x="8"/>
        <item x="3"/>
        <item x="6"/>
        <item x="5"/>
        <item x="4"/>
        <item x="7"/>
        <item x="0"/>
        <item x="1"/>
        <item x="9"/>
        <item t="default"/>
      </items>
    </pivotField>
    <pivotField showAll="0"/>
    <pivotField numFmtId="44" showAll="0"/>
    <pivotField dataField="1" numFmtId="164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0" hier="-1"/>
  </pageFields>
  <dataFields count="1">
    <dataField name="Soma de Valor Total" fld="4" baseField="0" baseItem="0"/>
  </dataFields>
  <pivotTableStyleInfo name="PivotStyleMedium9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fieldListSortAscending="1">
  <location ref="A1:B13" firstHeaderRow="1" firstDataRow="1" firstDataCol="1"/>
  <pivotFields count="10">
    <pivotField showAll="0"/>
    <pivotField showAll="0"/>
    <pivotField showAll="0"/>
    <pivotField showAll="0"/>
    <pivotField axis="axisRow" showAll="0">
      <items count="12">
        <item x="6"/>
        <item x="3"/>
        <item x="7"/>
        <item x="9"/>
        <item x="0"/>
        <item x="4"/>
        <item x="5"/>
        <item x="2"/>
        <item x="1"/>
        <item x="10"/>
        <item x="8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a de Vendas" fld="5" baseField="0" baseItem="0"/>
  </dataField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4" cacheId="2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 fieldListSortAscending="1">
  <location ref="A3:B5" firstHeaderRow="1" firstDataRow="1" firstDataCol="1" rowPageCount="1" colPageCount="1"/>
  <pivotFields count="3">
    <pivotField axis="axisRow" showAll="0" defaultSubtotal="0">
      <items count="2">
        <item x="0"/>
        <item x="1"/>
      </items>
    </pivotField>
    <pivotField axis="axisPage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>
      <x v="1"/>
    </i>
  </rowItems>
  <colItems count="1">
    <i/>
  </colItems>
  <pageFields count="1">
    <pageField fld="1" hier="-1"/>
  </pageFields>
  <dataFields count="1">
    <dataField name="$G$3" fld="2" baseField="0" baseItem="0"/>
  </dataFields>
  <pivotTableStyleInfo name="PivotStyleMedium9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ocumentos_importasdos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mporta_Access.accdb_1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CodigoDoProduto" tableColumnId="1"/>
      <queryTableField id="2" name="NomeDoProduto" tableColumnId="2"/>
      <queryTableField id="3" name="CodigoDoFornecedor" tableColumnId="3"/>
      <queryTableField id="4" name="CodigoDaCategoria" tableColumnId="4"/>
      <queryTableField id="5" name="QuantidadePorUnidade" tableColumnId="5"/>
      <queryTableField id="6" name="PrecoUnitario" tableColumnId="6"/>
      <queryTableField id="7" name="UnidadesEmEstoque" tableColumnId="7"/>
      <queryTableField id="8" name="UnidadesPedidas" tableColumnId="8"/>
      <queryTableField id="9" name="NivelDeReposicao" tableColumnId="9"/>
      <queryTableField id="10" name="Descontinuado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ela1" displayName="Tabela1" ref="A1:E2" totalsRowShown="0">
  <autoFilter ref="A1:E2"/>
  <tableColumns count="5">
    <tableColumn id="1" name="Marca"/>
    <tableColumn id="2" name="Tipo"/>
    <tableColumn id="3" name="Quantidade"/>
    <tableColumn id="4" name="Valor unitário"/>
    <tableColumn id="5" name="Valor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a_Importa_Access.accdb_1" displayName="Tabela_Importa_Access.accdb_1" ref="A1:J78" tableType="queryTable" totalsRowShown="0">
  <autoFilter ref="A1:J78"/>
  <tableColumns count="10">
    <tableColumn id="1" uniqueName="1" name="CodigoDoProduto" queryTableFieldId="1"/>
    <tableColumn id="2" uniqueName="2" name="NomeDoProduto" queryTableFieldId="2"/>
    <tableColumn id="3" uniqueName="3" name="CodigoDoFornecedor" queryTableFieldId="3"/>
    <tableColumn id="4" uniqueName="4" name="CodigoDaCategoria" queryTableFieldId="4"/>
    <tableColumn id="5" uniqueName="5" name="QuantidadePorUnidade" queryTableFieldId="5"/>
    <tableColumn id="6" uniqueName="6" name="PrecoUnitario" queryTableFieldId="6"/>
    <tableColumn id="7" uniqueName="7" name="UnidadesEmEstoque" queryTableFieldId="7"/>
    <tableColumn id="8" uniqueName="8" name="UnidadesPedidas" queryTableFieldId="8"/>
    <tableColumn id="9" uniqueName="9" name="NivelDeReposicao" queryTableFieldId="9"/>
    <tableColumn id="10" uniqueName="10" name="Descontinuado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H24"/>
  <sheetViews>
    <sheetView showGridLines="0" topLeftCell="A3" workbookViewId="0">
      <selection activeCell="E6" sqref="E6"/>
    </sheetView>
  </sheetViews>
  <sheetFormatPr defaultColWidth="21.140625" defaultRowHeight="15"/>
  <cols>
    <col min="1" max="1" width="17.5703125" style="82" bestFit="1" customWidth="1"/>
    <col min="2" max="2" width="13.85546875" style="131" bestFit="1" customWidth="1"/>
    <col min="3" max="3" width="11.28515625" style="59" customWidth="1"/>
    <col min="4" max="4" width="17.28515625" style="131" customWidth="1"/>
    <col min="5" max="5" width="21.140625" style="131"/>
    <col min="6" max="6" width="2.140625" style="59" customWidth="1"/>
    <col min="7" max="7" width="18.85546875" style="59" bestFit="1" customWidth="1"/>
    <col min="8" max="8" width="8" style="59" bestFit="1" customWidth="1"/>
    <col min="9" max="16384" width="21.140625" style="59"/>
  </cols>
  <sheetData>
    <row r="1" spans="1:8">
      <c r="A1" s="227" t="s">
        <v>0</v>
      </c>
      <c r="B1" s="227"/>
      <c r="C1" s="227"/>
      <c r="D1" s="227"/>
      <c r="E1" s="227"/>
      <c r="F1" s="130"/>
    </row>
    <row r="2" spans="1:8">
      <c r="A2" s="227"/>
      <c r="B2" s="227"/>
      <c r="C2" s="227"/>
      <c r="D2" s="227"/>
      <c r="E2" s="227"/>
      <c r="F2" s="130"/>
    </row>
    <row r="3" spans="1:8">
      <c r="A3" s="119" t="s">
        <v>1</v>
      </c>
      <c r="B3" s="120" t="s">
        <v>29</v>
      </c>
      <c r="C3" s="120" t="s">
        <v>2</v>
      </c>
      <c r="D3" s="120" t="s">
        <v>3</v>
      </c>
      <c r="E3" s="120" t="s">
        <v>4</v>
      </c>
      <c r="F3" s="121"/>
      <c r="G3" s="122" t="s">
        <v>6</v>
      </c>
      <c r="H3" s="123">
        <v>2.0289999999999999</v>
      </c>
    </row>
    <row r="4" spans="1:8">
      <c r="A4" s="228"/>
      <c r="B4" s="228"/>
      <c r="C4" s="228"/>
      <c r="D4" s="228"/>
      <c r="E4" s="228"/>
      <c r="F4" s="121"/>
      <c r="G4" s="122" t="s">
        <v>8</v>
      </c>
      <c r="H4" s="124"/>
    </row>
    <row r="5" spans="1:8">
      <c r="A5" s="125" t="s">
        <v>5</v>
      </c>
      <c r="B5" s="132">
        <v>650</v>
      </c>
      <c r="C5" s="126">
        <v>10</v>
      </c>
      <c r="D5" s="127">
        <f t="shared" ref="D5:D24" si="0">B5/Cota_Dolar</f>
        <v>320.35485460818137</v>
      </c>
      <c r="E5" s="128"/>
      <c r="F5" s="121"/>
      <c r="G5" s="122" t="s">
        <v>10</v>
      </c>
      <c r="H5" s="124"/>
    </row>
    <row r="6" spans="1:8">
      <c r="A6" s="125" t="s">
        <v>7</v>
      </c>
      <c r="B6" s="132">
        <v>580</v>
      </c>
      <c r="C6" s="126">
        <v>8</v>
      </c>
      <c r="D6" s="127">
        <f t="shared" si="0"/>
        <v>285.85510103499263</v>
      </c>
      <c r="E6" s="128"/>
      <c r="F6" s="121"/>
      <c r="G6" s="122" t="s">
        <v>12</v>
      </c>
      <c r="H6" s="124"/>
    </row>
    <row r="7" spans="1:8">
      <c r="A7" s="125" t="s">
        <v>9</v>
      </c>
      <c r="B7" s="132">
        <v>50</v>
      </c>
      <c r="C7" s="126">
        <v>70</v>
      </c>
      <c r="D7" s="127">
        <f t="shared" si="0"/>
        <v>24.642681123706261</v>
      </c>
      <c r="E7" s="128"/>
      <c r="F7" s="121"/>
    </row>
    <row r="8" spans="1:8">
      <c r="A8" s="125" t="s">
        <v>11</v>
      </c>
      <c r="B8" s="132">
        <v>60</v>
      </c>
      <c r="C8" s="126">
        <v>10</v>
      </c>
      <c r="D8" s="127">
        <f t="shared" si="0"/>
        <v>29.571217348447512</v>
      </c>
      <c r="E8" s="128"/>
      <c r="F8" s="121"/>
    </row>
    <row r="9" spans="1:8">
      <c r="A9" s="125" t="s">
        <v>13</v>
      </c>
      <c r="B9" s="132">
        <v>0.68</v>
      </c>
      <c r="C9" s="126">
        <v>30</v>
      </c>
      <c r="D9" s="127">
        <f t="shared" si="0"/>
        <v>0.33514046328240515</v>
      </c>
      <c r="E9" s="128"/>
      <c r="F9" s="121"/>
    </row>
    <row r="10" spans="1:8">
      <c r="A10" s="125" t="s">
        <v>14</v>
      </c>
      <c r="B10" s="132">
        <v>550</v>
      </c>
      <c r="C10" s="126">
        <v>23</v>
      </c>
      <c r="D10" s="127">
        <f t="shared" si="0"/>
        <v>271.06949236076889</v>
      </c>
      <c r="E10" s="128"/>
      <c r="F10" s="121"/>
    </row>
    <row r="11" spans="1:8">
      <c r="A11" s="125" t="s">
        <v>15</v>
      </c>
      <c r="B11" s="132">
        <v>3000</v>
      </c>
      <c r="C11" s="126">
        <v>13</v>
      </c>
      <c r="D11" s="127">
        <f t="shared" si="0"/>
        <v>1478.5608674223756</v>
      </c>
      <c r="E11" s="128"/>
      <c r="F11" s="121"/>
    </row>
    <row r="12" spans="1:8">
      <c r="A12" s="125" t="s">
        <v>16</v>
      </c>
      <c r="B12" s="132">
        <v>75</v>
      </c>
      <c r="C12" s="126">
        <v>12</v>
      </c>
      <c r="D12" s="127">
        <f t="shared" si="0"/>
        <v>36.964021685559388</v>
      </c>
      <c r="E12" s="128"/>
      <c r="F12" s="121"/>
    </row>
    <row r="13" spans="1:8">
      <c r="A13" s="125" t="s">
        <v>17</v>
      </c>
      <c r="B13" s="132">
        <v>200</v>
      </c>
      <c r="C13" s="126">
        <v>38</v>
      </c>
      <c r="D13" s="127">
        <f t="shared" si="0"/>
        <v>98.570724494825043</v>
      </c>
      <c r="E13" s="128"/>
      <c r="F13" s="121"/>
    </row>
    <row r="14" spans="1:8">
      <c r="A14" s="129" t="s">
        <v>18</v>
      </c>
      <c r="B14" s="132">
        <v>50</v>
      </c>
      <c r="C14" s="126">
        <v>29</v>
      </c>
      <c r="D14" s="127">
        <f t="shared" si="0"/>
        <v>24.642681123706261</v>
      </c>
      <c r="E14" s="128"/>
      <c r="F14" s="121"/>
    </row>
    <row r="15" spans="1:8">
      <c r="A15" s="125" t="s">
        <v>19</v>
      </c>
      <c r="B15" s="132">
        <v>20</v>
      </c>
      <c r="C15" s="126">
        <v>21</v>
      </c>
      <c r="D15" s="127">
        <f t="shared" si="0"/>
        <v>9.8570724494825033</v>
      </c>
      <c r="E15" s="128"/>
      <c r="F15" s="121"/>
    </row>
    <row r="16" spans="1:8">
      <c r="A16" s="125" t="s">
        <v>20</v>
      </c>
      <c r="B16" s="132">
        <v>150</v>
      </c>
      <c r="C16" s="126">
        <v>39</v>
      </c>
      <c r="D16" s="127">
        <f t="shared" si="0"/>
        <v>73.928043371118775</v>
      </c>
      <c r="E16" s="128"/>
      <c r="F16" s="121"/>
    </row>
    <row r="17" spans="1:5">
      <c r="A17" s="125" t="s">
        <v>21</v>
      </c>
      <c r="B17" s="132">
        <v>32</v>
      </c>
      <c r="C17" s="126">
        <v>45</v>
      </c>
      <c r="D17" s="127">
        <f t="shared" si="0"/>
        <v>15.771315919172007</v>
      </c>
      <c r="E17" s="128"/>
    </row>
    <row r="18" spans="1:5">
      <c r="A18" s="125" t="s">
        <v>22</v>
      </c>
      <c r="B18" s="132">
        <v>99</v>
      </c>
      <c r="C18" s="126">
        <v>23</v>
      </c>
      <c r="D18" s="127">
        <f t="shared" si="0"/>
        <v>48.792508624938392</v>
      </c>
      <c r="E18" s="128"/>
    </row>
    <row r="19" spans="1:5">
      <c r="A19" s="125" t="s">
        <v>23</v>
      </c>
      <c r="B19" s="132">
        <v>60</v>
      </c>
      <c r="C19" s="126">
        <v>54</v>
      </c>
      <c r="D19" s="127">
        <f t="shared" si="0"/>
        <v>29.571217348447512</v>
      </c>
      <c r="E19" s="128"/>
    </row>
    <row r="20" spans="1:5">
      <c r="A20" s="125" t="s">
        <v>24</v>
      </c>
      <c r="B20" s="132">
        <v>200</v>
      </c>
      <c r="C20" s="126">
        <v>65</v>
      </c>
      <c r="D20" s="127">
        <f t="shared" si="0"/>
        <v>98.570724494825043</v>
      </c>
      <c r="E20" s="128"/>
    </row>
    <row r="21" spans="1:5">
      <c r="A21" s="125" t="s">
        <v>25</v>
      </c>
      <c r="B21" s="132">
        <v>700</v>
      </c>
      <c r="C21" s="126">
        <v>32</v>
      </c>
      <c r="D21" s="127">
        <f t="shared" si="0"/>
        <v>344.99753573188764</v>
      </c>
      <c r="E21" s="128"/>
    </row>
    <row r="22" spans="1:5">
      <c r="A22" s="125" t="s">
        <v>26</v>
      </c>
      <c r="B22" s="132">
        <v>300</v>
      </c>
      <c r="C22" s="126">
        <v>12</v>
      </c>
      <c r="D22" s="127">
        <f t="shared" si="0"/>
        <v>147.85608674223755</v>
      </c>
      <c r="E22" s="128"/>
    </row>
    <row r="23" spans="1:5">
      <c r="A23" s="125" t="s">
        <v>27</v>
      </c>
      <c r="B23" s="132">
        <v>290</v>
      </c>
      <c r="C23" s="126">
        <v>34</v>
      </c>
      <c r="D23" s="127">
        <f t="shared" si="0"/>
        <v>142.92755051749631</v>
      </c>
      <c r="E23" s="128"/>
    </row>
    <row r="24" spans="1:5">
      <c r="A24" s="125" t="s">
        <v>28</v>
      </c>
      <c r="B24" s="132">
        <v>30</v>
      </c>
      <c r="C24" s="126">
        <v>54</v>
      </c>
      <c r="D24" s="127">
        <f t="shared" si="0"/>
        <v>14.785608674223756</v>
      </c>
      <c r="E24" s="128"/>
    </row>
  </sheetData>
  <mergeCells count="2">
    <mergeCell ref="A1:E2"/>
    <mergeCell ref="A4:E4"/>
  </mergeCell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F362"/>
  <sheetViews>
    <sheetView workbookViewId="0">
      <selection activeCell="E1" sqref="E1"/>
    </sheetView>
  </sheetViews>
  <sheetFormatPr defaultRowHeight="15"/>
  <cols>
    <col min="1" max="1" width="7.85546875" style="131" bestFit="1" customWidth="1"/>
    <col min="2" max="2" width="36.140625" style="82" bestFit="1" customWidth="1"/>
    <col min="3" max="4" width="24.28515625" style="82" bestFit="1" customWidth="1"/>
    <col min="5" max="5" width="11.5703125" style="82" customWidth="1"/>
    <col min="6" max="6" width="23.140625" style="141" bestFit="1" customWidth="1"/>
    <col min="7" max="16384" width="9.140625" style="59"/>
  </cols>
  <sheetData>
    <row r="1" spans="1:6">
      <c r="A1" s="133" t="s">
        <v>30</v>
      </c>
      <c r="B1" s="134" t="s">
        <v>31</v>
      </c>
      <c r="C1" s="134" t="s">
        <v>32</v>
      </c>
      <c r="D1" s="142" t="s">
        <v>33</v>
      </c>
      <c r="E1" s="142" t="s">
        <v>34</v>
      </c>
      <c r="F1" s="143" t="s">
        <v>1132</v>
      </c>
    </row>
    <row r="2" spans="1:6">
      <c r="A2" s="135">
        <v>6149</v>
      </c>
      <c r="B2" s="136" t="s">
        <v>379</v>
      </c>
      <c r="C2" s="136" t="s">
        <v>380</v>
      </c>
      <c r="D2" s="136" t="s">
        <v>138</v>
      </c>
      <c r="E2" s="136" t="s">
        <v>139</v>
      </c>
      <c r="F2" s="139">
        <v>69057015</v>
      </c>
    </row>
    <row r="3" spans="1:6">
      <c r="A3" s="135">
        <v>6939</v>
      </c>
      <c r="B3" s="136" t="s">
        <v>377</v>
      </c>
      <c r="C3" s="136" t="s">
        <v>378</v>
      </c>
      <c r="D3" s="136" t="s">
        <v>138</v>
      </c>
      <c r="E3" s="136" t="s">
        <v>139</v>
      </c>
      <c r="F3" s="139">
        <v>69083000</v>
      </c>
    </row>
    <row r="4" spans="1:6">
      <c r="A4" s="135">
        <v>248</v>
      </c>
      <c r="B4" s="136" t="s">
        <v>178</v>
      </c>
      <c r="C4" s="136" t="s">
        <v>110</v>
      </c>
      <c r="D4" s="136" t="s">
        <v>138</v>
      </c>
      <c r="E4" s="136" t="s">
        <v>139</v>
      </c>
      <c r="F4" s="139">
        <v>69010040</v>
      </c>
    </row>
    <row r="5" spans="1:6">
      <c r="A5" s="135">
        <v>86</v>
      </c>
      <c r="B5" s="136" t="s">
        <v>184</v>
      </c>
      <c r="C5" s="136" t="s">
        <v>185</v>
      </c>
      <c r="D5" s="136" t="s">
        <v>138</v>
      </c>
      <c r="E5" s="136" t="s">
        <v>139</v>
      </c>
      <c r="F5" s="139">
        <v>69050902</v>
      </c>
    </row>
    <row r="6" spans="1:6">
      <c r="A6" s="135">
        <v>4413</v>
      </c>
      <c r="B6" s="136" t="s">
        <v>388</v>
      </c>
      <c r="C6" s="136" t="s">
        <v>173</v>
      </c>
      <c r="D6" s="136" t="s">
        <v>138</v>
      </c>
      <c r="E6" s="136" t="s">
        <v>139</v>
      </c>
      <c r="F6" s="139">
        <v>69090002</v>
      </c>
    </row>
    <row r="7" spans="1:6">
      <c r="A7" s="135">
        <v>3557</v>
      </c>
      <c r="B7" s="136" t="s">
        <v>210</v>
      </c>
      <c r="C7" s="136" t="s">
        <v>211</v>
      </c>
      <c r="D7" s="136" t="s">
        <v>138</v>
      </c>
      <c r="E7" s="136" t="s">
        <v>139</v>
      </c>
      <c r="F7" s="139">
        <v>69040000</v>
      </c>
    </row>
    <row r="8" spans="1:6">
      <c r="A8" s="135">
        <v>1651</v>
      </c>
      <c r="B8" s="136" t="s">
        <v>407</v>
      </c>
      <c r="C8" s="136" t="s">
        <v>408</v>
      </c>
      <c r="D8" s="136" t="s">
        <v>138</v>
      </c>
      <c r="E8" s="136" t="s">
        <v>139</v>
      </c>
      <c r="F8" s="139">
        <v>69050010</v>
      </c>
    </row>
    <row r="9" spans="1:6">
      <c r="A9" s="135">
        <v>3760</v>
      </c>
      <c r="B9" s="136" t="s">
        <v>681</v>
      </c>
      <c r="C9" s="136" t="s">
        <v>408</v>
      </c>
      <c r="D9" s="136" t="s">
        <v>138</v>
      </c>
      <c r="E9" s="136" t="s">
        <v>139</v>
      </c>
      <c r="F9" s="139">
        <v>690930000</v>
      </c>
    </row>
    <row r="10" spans="1:6">
      <c r="A10" s="135">
        <v>3379</v>
      </c>
      <c r="B10" s="136" t="s">
        <v>136</v>
      </c>
      <c r="C10" s="136" t="s">
        <v>137</v>
      </c>
      <c r="D10" s="136" t="s">
        <v>138</v>
      </c>
      <c r="E10" s="136" t="s">
        <v>139</v>
      </c>
      <c r="F10" s="139">
        <v>69048660</v>
      </c>
    </row>
    <row r="11" spans="1:6">
      <c r="A11" s="135">
        <v>6670</v>
      </c>
      <c r="B11" s="136" t="s">
        <v>589</v>
      </c>
      <c r="C11" s="136" t="s">
        <v>137</v>
      </c>
      <c r="D11" s="136" t="s">
        <v>138</v>
      </c>
      <c r="E11" s="136" t="s">
        <v>139</v>
      </c>
      <c r="F11" s="139">
        <v>69041025</v>
      </c>
    </row>
    <row r="12" spans="1:6">
      <c r="A12" s="135">
        <v>6335</v>
      </c>
      <c r="B12" s="136" t="s">
        <v>46</v>
      </c>
      <c r="C12" s="136" t="s">
        <v>47</v>
      </c>
      <c r="D12" s="136" t="s">
        <v>48</v>
      </c>
      <c r="E12" s="136" t="s">
        <v>49</v>
      </c>
      <c r="F12" s="139">
        <v>48080000</v>
      </c>
    </row>
    <row r="13" spans="1:6">
      <c r="A13" s="135">
        <v>6343</v>
      </c>
      <c r="B13" s="136" t="s">
        <v>638</v>
      </c>
      <c r="C13" s="136" t="s">
        <v>47</v>
      </c>
      <c r="D13" s="136" t="s">
        <v>48</v>
      </c>
      <c r="E13" s="136" t="s">
        <v>49</v>
      </c>
      <c r="F13" s="139">
        <v>48080000</v>
      </c>
    </row>
    <row r="14" spans="1:6">
      <c r="A14" s="135">
        <v>6386</v>
      </c>
      <c r="B14" s="136" t="s">
        <v>282</v>
      </c>
      <c r="C14" s="136" t="s">
        <v>283</v>
      </c>
      <c r="D14" s="136" t="s">
        <v>284</v>
      </c>
      <c r="E14" s="136" t="s">
        <v>49</v>
      </c>
      <c r="F14" s="139">
        <v>45025710</v>
      </c>
    </row>
    <row r="15" spans="1:6">
      <c r="A15" s="135">
        <v>4081</v>
      </c>
      <c r="B15" s="136" t="s">
        <v>640</v>
      </c>
      <c r="C15" s="136" t="s">
        <v>141</v>
      </c>
      <c r="D15" s="136" t="s">
        <v>76</v>
      </c>
      <c r="E15" s="136" t="s">
        <v>70</v>
      </c>
      <c r="F15" s="139">
        <v>72501100</v>
      </c>
    </row>
    <row r="16" spans="1:6">
      <c r="A16" s="135">
        <v>4162</v>
      </c>
      <c r="B16" s="136" t="s">
        <v>310</v>
      </c>
      <c r="C16" s="136" t="s">
        <v>311</v>
      </c>
      <c r="D16" s="136" t="s">
        <v>312</v>
      </c>
      <c r="E16" s="136" t="s">
        <v>70</v>
      </c>
      <c r="F16" s="139">
        <v>60120002</v>
      </c>
    </row>
    <row r="17" spans="1:6">
      <c r="A17" s="135">
        <v>3824</v>
      </c>
      <c r="B17" s="136" t="s">
        <v>313</v>
      </c>
      <c r="C17" s="136" t="s">
        <v>314</v>
      </c>
      <c r="D17" s="136" t="s">
        <v>312</v>
      </c>
      <c r="E17" s="136" t="s">
        <v>70</v>
      </c>
      <c r="F17" s="139">
        <v>60710001</v>
      </c>
    </row>
    <row r="18" spans="1:6">
      <c r="A18" s="135">
        <v>6394</v>
      </c>
      <c r="B18" s="136" t="s">
        <v>67</v>
      </c>
      <c r="C18" s="136" t="s">
        <v>68</v>
      </c>
      <c r="D18" s="136" t="s">
        <v>69</v>
      </c>
      <c r="E18" s="136" t="s">
        <v>70</v>
      </c>
      <c r="F18" s="139">
        <v>63041140</v>
      </c>
    </row>
    <row r="19" spans="1:6">
      <c r="A19" s="135">
        <v>2780</v>
      </c>
      <c r="B19" s="136" t="s">
        <v>556</v>
      </c>
      <c r="C19" s="136" t="s">
        <v>520</v>
      </c>
      <c r="D19" s="136" t="s">
        <v>106</v>
      </c>
      <c r="E19" s="136" t="s">
        <v>77</v>
      </c>
      <c r="F19" s="139">
        <v>70236400</v>
      </c>
    </row>
    <row r="20" spans="1:6">
      <c r="A20" s="135">
        <v>2658</v>
      </c>
      <c r="B20" s="136" t="s">
        <v>557</v>
      </c>
      <c r="C20" s="136" t="s">
        <v>558</v>
      </c>
      <c r="D20" s="136" t="s">
        <v>559</v>
      </c>
      <c r="E20" s="136" t="s">
        <v>77</v>
      </c>
      <c r="F20" s="139">
        <v>70760545</v>
      </c>
    </row>
    <row r="21" spans="1:6">
      <c r="A21" s="135">
        <v>4936</v>
      </c>
      <c r="B21" s="136" t="s">
        <v>74</v>
      </c>
      <c r="C21" s="136" t="s">
        <v>75</v>
      </c>
      <c r="D21" s="136" t="s">
        <v>76</v>
      </c>
      <c r="E21" s="136" t="s">
        <v>77</v>
      </c>
      <c r="F21" s="139">
        <v>70770916</v>
      </c>
    </row>
    <row r="22" spans="1:6">
      <c r="A22" s="135">
        <v>2640</v>
      </c>
      <c r="B22" s="136" t="s">
        <v>529</v>
      </c>
      <c r="C22" s="136" t="s">
        <v>530</v>
      </c>
      <c r="D22" s="136" t="s">
        <v>76</v>
      </c>
      <c r="E22" s="136" t="s">
        <v>77</v>
      </c>
      <c r="F22" s="139">
        <v>70760545</v>
      </c>
    </row>
    <row r="23" spans="1:6">
      <c r="A23" s="135">
        <v>2666</v>
      </c>
      <c r="B23" s="136" t="s">
        <v>527</v>
      </c>
      <c r="C23" s="136" t="s">
        <v>528</v>
      </c>
      <c r="D23" s="136" t="s">
        <v>76</v>
      </c>
      <c r="E23" s="136" t="s">
        <v>77</v>
      </c>
      <c r="F23" s="139">
        <v>70730570</v>
      </c>
    </row>
    <row r="24" spans="1:6">
      <c r="A24" s="135">
        <v>1040</v>
      </c>
      <c r="B24" s="136" t="s">
        <v>105</v>
      </c>
      <c r="C24" s="136" t="s">
        <v>106</v>
      </c>
      <c r="D24" s="136" t="s">
        <v>76</v>
      </c>
      <c r="E24" s="136" t="s">
        <v>77</v>
      </c>
      <c r="F24" s="139">
        <v>71218900</v>
      </c>
    </row>
    <row r="25" spans="1:6">
      <c r="A25" s="135">
        <v>1350</v>
      </c>
      <c r="B25" s="136" t="s">
        <v>109</v>
      </c>
      <c r="C25" s="136" t="s">
        <v>110</v>
      </c>
      <c r="D25" s="136" t="s">
        <v>76</v>
      </c>
      <c r="E25" s="136" t="s">
        <v>77</v>
      </c>
      <c r="F25" s="139">
        <v>71220500</v>
      </c>
    </row>
    <row r="26" spans="1:6">
      <c r="A26" s="135">
        <v>4871</v>
      </c>
      <c r="B26" s="136" t="s">
        <v>442</v>
      </c>
      <c r="C26" s="136" t="s">
        <v>443</v>
      </c>
      <c r="D26" s="136" t="s">
        <v>76</v>
      </c>
      <c r="E26" s="136" t="s">
        <v>77</v>
      </c>
      <c r="F26" s="139">
        <v>71635013</v>
      </c>
    </row>
    <row r="27" spans="1:6">
      <c r="A27" s="135">
        <v>2771</v>
      </c>
      <c r="B27" s="136" t="s">
        <v>519</v>
      </c>
      <c r="C27" s="136" t="s">
        <v>520</v>
      </c>
      <c r="D27" s="136" t="s">
        <v>76</v>
      </c>
      <c r="E27" s="136" t="s">
        <v>77</v>
      </c>
      <c r="F27" s="139">
        <v>70760511</v>
      </c>
    </row>
    <row r="28" spans="1:6">
      <c r="A28" s="135">
        <v>3506</v>
      </c>
      <c r="B28" s="136" t="s">
        <v>140</v>
      </c>
      <c r="C28" s="136" t="s">
        <v>141</v>
      </c>
      <c r="D28" s="136" t="s">
        <v>76</v>
      </c>
      <c r="E28" s="136" t="s">
        <v>77</v>
      </c>
      <c r="F28" s="139">
        <v>72501100</v>
      </c>
    </row>
    <row r="29" spans="1:6">
      <c r="A29" s="135">
        <v>2739</v>
      </c>
      <c r="B29" s="136" t="s">
        <v>145</v>
      </c>
      <c r="C29" s="136" t="s">
        <v>141</v>
      </c>
      <c r="D29" s="136" t="s">
        <v>76</v>
      </c>
      <c r="E29" s="136" t="s">
        <v>77</v>
      </c>
      <c r="F29" s="139">
        <v>72501100</v>
      </c>
    </row>
    <row r="30" spans="1:6">
      <c r="A30" s="135">
        <v>3638</v>
      </c>
      <c r="B30" s="136" t="s">
        <v>649</v>
      </c>
      <c r="C30" s="136" t="s">
        <v>141</v>
      </c>
      <c r="D30" s="136" t="s">
        <v>76</v>
      </c>
      <c r="E30" s="136" t="s">
        <v>77</v>
      </c>
      <c r="F30" s="139">
        <v>72501100</v>
      </c>
    </row>
    <row r="31" spans="1:6">
      <c r="A31" s="135">
        <v>3689</v>
      </c>
      <c r="B31" s="136" t="s">
        <v>659</v>
      </c>
      <c r="C31" s="136" t="s">
        <v>660</v>
      </c>
      <c r="D31" s="136" t="s">
        <v>661</v>
      </c>
      <c r="E31" s="136" t="s">
        <v>77</v>
      </c>
      <c r="F31" s="139">
        <v>72501100</v>
      </c>
    </row>
    <row r="32" spans="1:6">
      <c r="A32" s="135">
        <v>2631</v>
      </c>
      <c r="B32" s="136" t="s">
        <v>592</v>
      </c>
      <c r="C32" s="136" t="s">
        <v>593</v>
      </c>
      <c r="D32" s="136" t="s">
        <v>76</v>
      </c>
      <c r="E32" s="136" t="s">
        <v>77</v>
      </c>
      <c r="F32" s="139">
        <v>72035505</v>
      </c>
    </row>
    <row r="33" spans="1:6">
      <c r="A33" s="135">
        <v>3468</v>
      </c>
      <c r="B33" s="136" t="s">
        <v>114</v>
      </c>
      <c r="C33" s="136" t="s">
        <v>115</v>
      </c>
      <c r="D33" s="136" t="s">
        <v>116</v>
      </c>
      <c r="E33" s="136" t="s">
        <v>77</v>
      </c>
      <c r="F33" s="139">
        <v>71953100</v>
      </c>
    </row>
    <row r="34" spans="1:6">
      <c r="A34" s="135">
        <v>3620</v>
      </c>
      <c r="B34" s="136" t="s">
        <v>656</v>
      </c>
      <c r="C34" s="136" t="s">
        <v>132</v>
      </c>
      <c r="D34" s="136" t="s">
        <v>657</v>
      </c>
      <c r="E34" s="136" t="s">
        <v>63</v>
      </c>
      <c r="F34" s="139">
        <v>29146220</v>
      </c>
    </row>
    <row r="35" spans="1:6">
      <c r="A35" s="135">
        <v>1813</v>
      </c>
      <c r="B35" s="136" t="s">
        <v>146</v>
      </c>
      <c r="C35" s="136" t="s">
        <v>147</v>
      </c>
      <c r="D35" s="136" t="s">
        <v>148</v>
      </c>
      <c r="E35" s="136" t="s">
        <v>63</v>
      </c>
      <c r="F35" s="139">
        <v>29161901</v>
      </c>
    </row>
    <row r="36" spans="1:6">
      <c r="A36" s="135">
        <v>3239</v>
      </c>
      <c r="B36" s="136" t="s">
        <v>222</v>
      </c>
      <c r="C36" s="136" t="s">
        <v>147</v>
      </c>
      <c r="D36" s="136" t="s">
        <v>148</v>
      </c>
      <c r="E36" s="136" t="s">
        <v>63</v>
      </c>
      <c r="F36" s="139">
        <v>29161901</v>
      </c>
    </row>
    <row r="37" spans="1:6">
      <c r="A37" s="135">
        <v>1376</v>
      </c>
      <c r="B37" s="136" t="s">
        <v>280</v>
      </c>
      <c r="C37" s="136" t="s">
        <v>281</v>
      </c>
      <c r="D37" s="136" t="s">
        <v>62</v>
      </c>
      <c r="E37" s="136" t="s">
        <v>63</v>
      </c>
      <c r="F37" s="139">
        <v>29112000</v>
      </c>
    </row>
    <row r="38" spans="1:6">
      <c r="A38" s="135">
        <v>426</v>
      </c>
      <c r="B38" s="136" t="s">
        <v>645</v>
      </c>
      <c r="C38" s="136" t="s">
        <v>281</v>
      </c>
      <c r="D38" s="136" t="s">
        <v>62</v>
      </c>
      <c r="E38" s="136" t="s">
        <v>63</v>
      </c>
      <c r="F38" s="139">
        <v>29112000</v>
      </c>
    </row>
    <row r="39" spans="1:6">
      <c r="A39" s="135">
        <v>434</v>
      </c>
      <c r="B39" s="136" t="s">
        <v>682</v>
      </c>
      <c r="C39" s="136" t="s">
        <v>281</v>
      </c>
      <c r="D39" s="136" t="s">
        <v>62</v>
      </c>
      <c r="E39" s="136" t="s">
        <v>63</v>
      </c>
      <c r="F39" s="139">
        <v>29112000</v>
      </c>
    </row>
    <row r="40" spans="1:6">
      <c r="A40" s="135">
        <v>6289</v>
      </c>
      <c r="B40" s="136" t="s">
        <v>60</v>
      </c>
      <c r="C40" s="136" t="s">
        <v>61</v>
      </c>
      <c r="D40" s="136" t="s">
        <v>62</v>
      </c>
      <c r="E40" s="136" t="s">
        <v>63</v>
      </c>
      <c r="F40" s="139">
        <v>29123600</v>
      </c>
    </row>
    <row r="41" spans="1:6">
      <c r="A41" s="135">
        <v>280</v>
      </c>
      <c r="B41" s="136" t="s">
        <v>663</v>
      </c>
      <c r="C41" s="136" t="s">
        <v>664</v>
      </c>
      <c r="D41" s="136" t="s">
        <v>665</v>
      </c>
      <c r="E41" s="136" t="s">
        <v>63</v>
      </c>
      <c r="F41" s="139">
        <v>29056280</v>
      </c>
    </row>
    <row r="42" spans="1:6">
      <c r="A42" s="135">
        <v>4499</v>
      </c>
      <c r="B42" s="136" t="s">
        <v>340</v>
      </c>
      <c r="C42" s="136" t="s">
        <v>341</v>
      </c>
      <c r="D42" s="136" t="s">
        <v>342</v>
      </c>
      <c r="E42" s="136" t="s">
        <v>337</v>
      </c>
      <c r="F42" s="139">
        <v>75080240</v>
      </c>
    </row>
    <row r="43" spans="1:6">
      <c r="A43" s="135">
        <v>4634</v>
      </c>
      <c r="B43" s="136" t="s">
        <v>433</v>
      </c>
      <c r="C43" s="136" t="s">
        <v>341</v>
      </c>
      <c r="D43" s="136" t="s">
        <v>342</v>
      </c>
      <c r="E43" s="136" t="s">
        <v>337</v>
      </c>
      <c r="F43" s="139">
        <v>75080240</v>
      </c>
    </row>
    <row r="44" spans="1:6">
      <c r="A44" s="135">
        <v>4073</v>
      </c>
      <c r="B44" s="136" t="s">
        <v>486</v>
      </c>
      <c r="C44" s="136" t="s">
        <v>487</v>
      </c>
      <c r="D44" s="136" t="s">
        <v>488</v>
      </c>
      <c r="E44" s="136" t="s">
        <v>337</v>
      </c>
      <c r="F44" s="139">
        <v>74935530</v>
      </c>
    </row>
    <row r="45" spans="1:6">
      <c r="A45" s="135">
        <v>3832</v>
      </c>
      <c r="B45" s="136" t="s">
        <v>495</v>
      </c>
      <c r="C45" s="136" t="s">
        <v>496</v>
      </c>
      <c r="D45" s="136" t="s">
        <v>336</v>
      </c>
      <c r="E45" s="136" t="s">
        <v>337</v>
      </c>
      <c r="F45" s="139">
        <v>74810100</v>
      </c>
    </row>
    <row r="46" spans="1:6">
      <c r="A46" s="135">
        <v>1210</v>
      </c>
      <c r="B46" s="136" t="s">
        <v>343</v>
      </c>
      <c r="C46" s="136" t="s">
        <v>344</v>
      </c>
      <c r="D46" s="136" t="s">
        <v>336</v>
      </c>
      <c r="E46" s="136" t="s">
        <v>337</v>
      </c>
      <c r="F46" s="139">
        <v>74810100</v>
      </c>
    </row>
    <row r="47" spans="1:6">
      <c r="A47" s="135">
        <v>1597</v>
      </c>
      <c r="B47" s="136" t="s">
        <v>338</v>
      </c>
      <c r="C47" s="136" t="s">
        <v>339</v>
      </c>
      <c r="D47" s="136" t="s">
        <v>336</v>
      </c>
      <c r="E47" s="136" t="s">
        <v>337</v>
      </c>
      <c r="F47" s="139">
        <v>74063010</v>
      </c>
    </row>
    <row r="48" spans="1:6">
      <c r="A48" s="135">
        <v>3816</v>
      </c>
      <c r="B48" s="136" t="s">
        <v>490</v>
      </c>
      <c r="C48" s="136" t="s">
        <v>491</v>
      </c>
      <c r="D48" s="136" t="s">
        <v>336</v>
      </c>
      <c r="E48" s="136" t="s">
        <v>337</v>
      </c>
      <c r="F48" s="139">
        <v>74465539</v>
      </c>
    </row>
    <row r="49" spans="1:6">
      <c r="A49" s="135">
        <v>3883</v>
      </c>
      <c r="B49" s="136" t="s">
        <v>334</v>
      </c>
      <c r="C49" s="136" t="s">
        <v>335</v>
      </c>
      <c r="D49" s="136" t="s">
        <v>336</v>
      </c>
      <c r="E49" s="136" t="s">
        <v>337</v>
      </c>
      <c r="F49" s="139">
        <v>74935530</v>
      </c>
    </row>
    <row r="50" spans="1:6">
      <c r="A50" s="135">
        <v>3476</v>
      </c>
      <c r="B50" s="136" t="s">
        <v>360</v>
      </c>
      <c r="C50" s="136" t="s">
        <v>361</v>
      </c>
      <c r="D50" s="136" t="s">
        <v>336</v>
      </c>
      <c r="E50" s="136" t="s">
        <v>337</v>
      </c>
      <c r="F50" s="139">
        <v>74310320</v>
      </c>
    </row>
    <row r="51" spans="1:6">
      <c r="A51" s="135">
        <v>3840</v>
      </c>
      <c r="B51" s="136" t="s">
        <v>489</v>
      </c>
      <c r="C51" s="136" t="s">
        <v>361</v>
      </c>
      <c r="D51" s="136" t="s">
        <v>336</v>
      </c>
      <c r="E51" s="136" t="s">
        <v>337</v>
      </c>
      <c r="F51" s="139">
        <v>74310320</v>
      </c>
    </row>
    <row r="52" spans="1:6">
      <c r="A52" s="135">
        <v>6947</v>
      </c>
      <c r="B52" s="136" t="s">
        <v>614</v>
      </c>
      <c r="C52" s="136" t="s">
        <v>615</v>
      </c>
      <c r="D52" s="136" t="s">
        <v>616</v>
      </c>
      <c r="E52" s="136" t="s">
        <v>337</v>
      </c>
      <c r="F52" s="139">
        <v>72872330</v>
      </c>
    </row>
    <row r="53" spans="1:6">
      <c r="A53" s="135">
        <v>2305</v>
      </c>
      <c r="B53" s="136" t="s">
        <v>383</v>
      </c>
      <c r="C53" s="136" t="s">
        <v>384</v>
      </c>
      <c r="D53" s="136" t="s">
        <v>85</v>
      </c>
      <c r="E53" s="136" t="s">
        <v>86</v>
      </c>
      <c r="F53" s="139">
        <v>30310360</v>
      </c>
    </row>
    <row r="54" spans="1:6">
      <c r="A54" s="135">
        <v>1139</v>
      </c>
      <c r="B54" s="136" t="s">
        <v>94</v>
      </c>
      <c r="C54" s="136" t="s">
        <v>95</v>
      </c>
      <c r="D54" s="136" t="s">
        <v>85</v>
      </c>
      <c r="E54" s="136" t="s">
        <v>86</v>
      </c>
      <c r="F54" s="139">
        <v>30330000</v>
      </c>
    </row>
    <row r="55" spans="1:6">
      <c r="A55" s="135">
        <v>2356</v>
      </c>
      <c r="B55" s="136" t="s">
        <v>90</v>
      </c>
      <c r="C55" s="136" t="s">
        <v>91</v>
      </c>
      <c r="D55" s="136" t="s">
        <v>85</v>
      </c>
      <c r="E55" s="136" t="s">
        <v>86</v>
      </c>
      <c r="F55" s="139">
        <v>31250010</v>
      </c>
    </row>
    <row r="56" spans="1:6">
      <c r="A56" s="135">
        <v>2437</v>
      </c>
      <c r="B56" s="136" t="s">
        <v>411</v>
      </c>
      <c r="C56" s="136" t="s">
        <v>412</v>
      </c>
      <c r="D56" s="136" t="s">
        <v>85</v>
      </c>
      <c r="E56" s="136" t="s">
        <v>86</v>
      </c>
      <c r="F56" s="139">
        <v>30710010</v>
      </c>
    </row>
    <row r="57" spans="1:6">
      <c r="A57" s="135">
        <v>2330</v>
      </c>
      <c r="B57" s="136" t="s">
        <v>396</v>
      </c>
      <c r="C57" s="136" t="s">
        <v>110</v>
      </c>
      <c r="D57" s="136" t="s">
        <v>85</v>
      </c>
      <c r="E57" s="136" t="s">
        <v>86</v>
      </c>
      <c r="F57" s="139">
        <v>30180100</v>
      </c>
    </row>
    <row r="58" spans="1:6">
      <c r="A58" s="135">
        <v>2410</v>
      </c>
      <c r="B58" s="136" t="s">
        <v>416</v>
      </c>
      <c r="C58" s="136" t="s">
        <v>110</v>
      </c>
      <c r="D58" s="136" t="s">
        <v>85</v>
      </c>
      <c r="E58" s="136" t="s">
        <v>86</v>
      </c>
      <c r="F58" s="139">
        <v>30170131</v>
      </c>
    </row>
    <row r="59" spans="1:6">
      <c r="A59" s="135">
        <v>2461</v>
      </c>
      <c r="B59" s="136" t="s">
        <v>385</v>
      </c>
      <c r="C59" s="136" t="s">
        <v>341</v>
      </c>
      <c r="D59" s="136" t="s">
        <v>85</v>
      </c>
      <c r="E59" s="136" t="s">
        <v>86</v>
      </c>
      <c r="F59" s="139">
        <v>303800000</v>
      </c>
    </row>
    <row r="60" spans="1:6">
      <c r="A60" s="135">
        <v>2453</v>
      </c>
      <c r="B60" s="136" t="s">
        <v>391</v>
      </c>
      <c r="C60" s="136" t="s">
        <v>392</v>
      </c>
      <c r="D60" s="136" t="s">
        <v>85</v>
      </c>
      <c r="E60" s="136" t="s">
        <v>86</v>
      </c>
      <c r="F60" s="139">
        <v>30535520</v>
      </c>
    </row>
    <row r="61" spans="1:6">
      <c r="A61" s="135">
        <v>1619</v>
      </c>
      <c r="B61" s="136" t="s">
        <v>92</v>
      </c>
      <c r="C61" s="136" t="s">
        <v>93</v>
      </c>
      <c r="D61" s="136" t="s">
        <v>85</v>
      </c>
      <c r="E61" s="136" t="s">
        <v>86</v>
      </c>
      <c r="F61" s="139">
        <v>31230000</v>
      </c>
    </row>
    <row r="62" spans="1:6">
      <c r="A62" s="135">
        <v>2429</v>
      </c>
      <c r="B62" s="136" t="s">
        <v>393</v>
      </c>
      <c r="C62" s="136" t="s">
        <v>394</v>
      </c>
      <c r="D62" s="136" t="s">
        <v>85</v>
      </c>
      <c r="E62" s="136" t="s">
        <v>86</v>
      </c>
      <c r="F62" s="139">
        <v>30110070</v>
      </c>
    </row>
    <row r="63" spans="1:6">
      <c r="A63" s="135">
        <v>2445</v>
      </c>
      <c r="B63" s="136" t="s">
        <v>386</v>
      </c>
      <c r="C63" s="136" t="s">
        <v>387</v>
      </c>
      <c r="D63" s="136" t="s">
        <v>85</v>
      </c>
      <c r="E63" s="136" t="s">
        <v>86</v>
      </c>
      <c r="F63" s="139">
        <v>30150311</v>
      </c>
    </row>
    <row r="64" spans="1:6">
      <c r="A64" s="135">
        <v>2178</v>
      </c>
      <c r="B64" s="136" t="s">
        <v>395</v>
      </c>
      <c r="C64" s="136" t="s">
        <v>387</v>
      </c>
      <c r="D64" s="136" t="s">
        <v>85</v>
      </c>
      <c r="E64" s="136" t="s">
        <v>86</v>
      </c>
      <c r="F64" s="139">
        <v>30112011</v>
      </c>
    </row>
    <row r="65" spans="1:6">
      <c r="A65" s="135">
        <v>2313</v>
      </c>
      <c r="B65" s="136" t="s">
        <v>397</v>
      </c>
      <c r="C65" s="136" t="s">
        <v>398</v>
      </c>
      <c r="D65" s="136" t="s">
        <v>85</v>
      </c>
      <c r="E65" s="136" t="s">
        <v>86</v>
      </c>
      <c r="F65" s="139">
        <v>30430250</v>
      </c>
    </row>
    <row r="66" spans="1:6">
      <c r="A66" s="135">
        <v>2224</v>
      </c>
      <c r="B66" s="136" t="s">
        <v>399</v>
      </c>
      <c r="C66" s="136" t="s">
        <v>400</v>
      </c>
      <c r="D66" s="136" t="s">
        <v>85</v>
      </c>
      <c r="E66" s="136" t="s">
        <v>86</v>
      </c>
      <c r="F66" s="139">
        <v>30460090</v>
      </c>
    </row>
    <row r="67" spans="1:6">
      <c r="A67" s="135">
        <v>4642</v>
      </c>
      <c r="B67" s="136" t="s">
        <v>551</v>
      </c>
      <c r="C67" s="136" t="s">
        <v>552</v>
      </c>
      <c r="D67" s="136" t="s">
        <v>85</v>
      </c>
      <c r="E67" s="136" t="s">
        <v>86</v>
      </c>
      <c r="F67" s="139">
        <v>31230000</v>
      </c>
    </row>
    <row r="68" spans="1:6">
      <c r="A68" s="135">
        <v>6629</v>
      </c>
      <c r="B68" s="136" t="s">
        <v>83</v>
      </c>
      <c r="C68" s="136" t="s">
        <v>84</v>
      </c>
      <c r="D68" s="136" t="s">
        <v>85</v>
      </c>
      <c r="E68" s="136" t="s">
        <v>86</v>
      </c>
      <c r="F68" s="139">
        <v>30260070</v>
      </c>
    </row>
    <row r="69" spans="1:6">
      <c r="A69" s="135">
        <v>2291</v>
      </c>
      <c r="B69" s="136" t="s">
        <v>414</v>
      </c>
      <c r="C69" s="136" t="s">
        <v>415</v>
      </c>
      <c r="D69" s="136" t="s">
        <v>85</v>
      </c>
      <c r="E69" s="136" t="s">
        <v>86</v>
      </c>
      <c r="F69" s="139">
        <v>30170111</v>
      </c>
    </row>
    <row r="70" spans="1:6">
      <c r="A70" s="135">
        <v>2208</v>
      </c>
      <c r="B70" s="136" t="s">
        <v>409</v>
      </c>
      <c r="C70" s="136" t="s">
        <v>410</v>
      </c>
      <c r="D70" s="136" t="s">
        <v>85</v>
      </c>
      <c r="E70" s="136" t="s">
        <v>86</v>
      </c>
      <c r="F70" s="139">
        <v>31275180</v>
      </c>
    </row>
    <row r="71" spans="1:6">
      <c r="A71" s="135">
        <v>2151</v>
      </c>
      <c r="B71" s="136" t="s">
        <v>381</v>
      </c>
      <c r="C71" s="136" t="s">
        <v>382</v>
      </c>
      <c r="D71" s="136" t="s">
        <v>85</v>
      </c>
      <c r="E71" s="136" t="s">
        <v>86</v>
      </c>
      <c r="F71" s="139">
        <v>30315420</v>
      </c>
    </row>
    <row r="72" spans="1:6">
      <c r="A72" s="135">
        <v>2186</v>
      </c>
      <c r="B72" s="136" t="s">
        <v>417</v>
      </c>
      <c r="C72" s="136" t="s">
        <v>382</v>
      </c>
      <c r="D72" s="136" t="s">
        <v>85</v>
      </c>
      <c r="E72" s="136" t="s">
        <v>86</v>
      </c>
      <c r="F72" s="139">
        <v>30315250</v>
      </c>
    </row>
    <row r="73" spans="1:6">
      <c r="A73" s="135">
        <v>1961</v>
      </c>
      <c r="B73" s="136" t="s">
        <v>151</v>
      </c>
      <c r="C73" s="136" t="s">
        <v>152</v>
      </c>
      <c r="D73" s="136" t="s">
        <v>89</v>
      </c>
      <c r="E73" s="136" t="s">
        <v>86</v>
      </c>
      <c r="F73" s="139">
        <v>31950640</v>
      </c>
    </row>
    <row r="74" spans="1:6">
      <c r="A74" s="135">
        <v>3484</v>
      </c>
      <c r="B74" s="136" t="s">
        <v>206</v>
      </c>
      <c r="C74" s="136" t="s">
        <v>152</v>
      </c>
      <c r="D74" s="136" t="s">
        <v>89</v>
      </c>
      <c r="E74" s="136" t="s">
        <v>86</v>
      </c>
      <c r="F74" s="139">
        <v>32145900</v>
      </c>
    </row>
    <row r="75" spans="1:6">
      <c r="A75" s="135">
        <v>1970</v>
      </c>
      <c r="B75" s="136" t="s">
        <v>406</v>
      </c>
      <c r="C75" s="136" t="s">
        <v>152</v>
      </c>
      <c r="D75" s="136" t="s">
        <v>89</v>
      </c>
      <c r="E75" s="136" t="s">
        <v>86</v>
      </c>
      <c r="F75" s="139">
        <v>32145900</v>
      </c>
    </row>
    <row r="76" spans="1:6">
      <c r="A76" s="135">
        <v>1996</v>
      </c>
      <c r="B76" s="136" t="s">
        <v>413</v>
      </c>
      <c r="C76" s="136" t="s">
        <v>152</v>
      </c>
      <c r="D76" s="136" t="s">
        <v>89</v>
      </c>
      <c r="E76" s="136" t="s">
        <v>86</v>
      </c>
      <c r="F76" s="139">
        <v>32000000</v>
      </c>
    </row>
    <row r="77" spans="1:6">
      <c r="A77" s="135">
        <v>4120</v>
      </c>
      <c r="B77" s="136" t="s">
        <v>662</v>
      </c>
      <c r="C77" s="136" t="s">
        <v>152</v>
      </c>
      <c r="D77" s="136" t="s">
        <v>89</v>
      </c>
      <c r="E77" s="136" t="s">
        <v>86</v>
      </c>
      <c r="F77" s="139">
        <v>32145900</v>
      </c>
    </row>
    <row r="78" spans="1:6">
      <c r="A78" s="135">
        <v>1082</v>
      </c>
      <c r="B78" s="136" t="s">
        <v>87</v>
      </c>
      <c r="C78" s="136" t="s">
        <v>88</v>
      </c>
      <c r="D78" s="136" t="s">
        <v>89</v>
      </c>
      <c r="E78" s="136" t="s">
        <v>86</v>
      </c>
      <c r="F78" s="139">
        <v>32260000</v>
      </c>
    </row>
    <row r="79" spans="1:6">
      <c r="A79" s="135">
        <v>1627</v>
      </c>
      <c r="B79" s="136" t="s">
        <v>369</v>
      </c>
      <c r="C79" s="136" t="s">
        <v>370</v>
      </c>
      <c r="D79" s="136" t="s">
        <v>371</v>
      </c>
      <c r="E79" s="136" t="s">
        <v>86</v>
      </c>
      <c r="F79" s="139">
        <v>36026900</v>
      </c>
    </row>
    <row r="80" spans="1:6">
      <c r="A80" s="135">
        <v>2119</v>
      </c>
      <c r="B80" s="136" t="s">
        <v>403</v>
      </c>
      <c r="C80" s="136" t="s">
        <v>404</v>
      </c>
      <c r="D80" s="136" t="s">
        <v>405</v>
      </c>
      <c r="E80" s="136" t="s">
        <v>86</v>
      </c>
      <c r="F80" s="139">
        <v>33400000</v>
      </c>
    </row>
    <row r="81" spans="1:6">
      <c r="A81" s="135">
        <v>3735</v>
      </c>
      <c r="B81" s="136" t="s">
        <v>672</v>
      </c>
      <c r="C81" s="136" t="s">
        <v>647</v>
      </c>
      <c r="D81" s="136" t="s">
        <v>56</v>
      </c>
      <c r="E81" s="136" t="s">
        <v>86</v>
      </c>
      <c r="F81" s="139">
        <v>210110000</v>
      </c>
    </row>
    <row r="82" spans="1:6">
      <c r="A82" s="135">
        <v>4588</v>
      </c>
      <c r="B82" s="136" t="s">
        <v>610</v>
      </c>
      <c r="C82" s="136" t="s">
        <v>141</v>
      </c>
      <c r="D82" s="136" t="s">
        <v>611</v>
      </c>
      <c r="E82" s="136" t="s">
        <v>86</v>
      </c>
      <c r="F82" s="139">
        <v>38050470</v>
      </c>
    </row>
    <row r="83" spans="1:6">
      <c r="A83" s="135">
        <v>4430</v>
      </c>
      <c r="B83" s="136" t="s">
        <v>763</v>
      </c>
      <c r="C83" s="136" t="s">
        <v>141</v>
      </c>
      <c r="D83" s="136" t="s">
        <v>611</v>
      </c>
      <c r="E83" s="136" t="s">
        <v>86</v>
      </c>
      <c r="F83" s="139">
        <v>38050470</v>
      </c>
    </row>
    <row r="84" spans="1:6">
      <c r="A84" s="135">
        <v>1236</v>
      </c>
      <c r="B84" s="136" t="s">
        <v>760</v>
      </c>
      <c r="C84" s="136" t="s">
        <v>761</v>
      </c>
      <c r="D84" s="136" t="s">
        <v>762</v>
      </c>
      <c r="E84" s="136" t="s">
        <v>86</v>
      </c>
      <c r="F84" s="139">
        <v>38408100</v>
      </c>
    </row>
    <row r="85" spans="1:6">
      <c r="A85" s="135">
        <v>3727</v>
      </c>
      <c r="B85" s="136" t="s">
        <v>526</v>
      </c>
      <c r="C85" s="136" t="s">
        <v>141</v>
      </c>
      <c r="D85" s="136" t="s">
        <v>76</v>
      </c>
      <c r="E85" s="136" t="s">
        <v>267</v>
      </c>
      <c r="F85" s="139">
        <v>72501100</v>
      </c>
    </row>
    <row r="86" spans="1:6">
      <c r="A86" s="135">
        <v>2089</v>
      </c>
      <c r="B86" s="136" t="s">
        <v>265</v>
      </c>
      <c r="C86" s="136" t="s">
        <v>266</v>
      </c>
      <c r="D86" s="136" t="s">
        <v>132</v>
      </c>
      <c r="E86" s="136" t="s">
        <v>267</v>
      </c>
      <c r="F86" s="139">
        <v>79031903</v>
      </c>
    </row>
    <row r="87" spans="1:6">
      <c r="A87" s="135">
        <v>4090</v>
      </c>
      <c r="B87" s="136" t="s">
        <v>684</v>
      </c>
      <c r="C87" s="136" t="s">
        <v>141</v>
      </c>
      <c r="D87" s="136" t="s">
        <v>76</v>
      </c>
      <c r="E87" s="136" t="s">
        <v>42</v>
      </c>
      <c r="F87" s="139">
        <v>72501100</v>
      </c>
    </row>
    <row r="88" spans="1:6">
      <c r="A88" s="135">
        <v>4669</v>
      </c>
      <c r="B88" s="136" t="s">
        <v>516</v>
      </c>
      <c r="C88" s="136" t="s">
        <v>517</v>
      </c>
      <c r="D88" s="136" t="s">
        <v>518</v>
      </c>
      <c r="E88" s="136" t="s">
        <v>42</v>
      </c>
      <c r="F88" s="139">
        <v>58310000</v>
      </c>
    </row>
    <row r="89" spans="1:6">
      <c r="A89" s="135">
        <v>6432</v>
      </c>
      <c r="B89" s="136" t="s">
        <v>39</v>
      </c>
      <c r="C89" s="136" t="s">
        <v>40</v>
      </c>
      <c r="D89" s="136" t="s">
        <v>41</v>
      </c>
      <c r="E89" s="136" t="s">
        <v>42</v>
      </c>
      <c r="F89" s="139">
        <v>58100000</v>
      </c>
    </row>
    <row r="90" spans="1:6">
      <c r="A90" s="135">
        <v>3808</v>
      </c>
      <c r="B90" s="136" t="s">
        <v>372</v>
      </c>
      <c r="C90" s="136" t="s">
        <v>373</v>
      </c>
      <c r="D90" s="136" t="s">
        <v>155</v>
      </c>
      <c r="E90" s="136" t="s">
        <v>42</v>
      </c>
      <c r="F90" s="139">
        <v>58036460</v>
      </c>
    </row>
    <row r="91" spans="1:6">
      <c r="A91" s="135">
        <v>4111</v>
      </c>
      <c r="B91" s="136" t="s">
        <v>153</v>
      </c>
      <c r="C91" s="136" t="s">
        <v>154</v>
      </c>
      <c r="D91" s="136" t="s">
        <v>155</v>
      </c>
      <c r="E91" s="136" t="s">
        <v>42</v>
      </c>
      <c r="F91" s="139">
        <v>58082000</v>
      </c>
    </row>
    <row r="92" spans="1:6">
      <c r="A92" s="135">
        <v>6610</v>
      </c>
      <c r="B92" s="136" t="s">
        <v>600</v>
      </c>
      <c r="C92" s="136" t="s">
        <v>601</v>
      </c>
      <c r="D92" s="136" t="s">
        <v>306</v>
      </c>
      <c r="E92" s="136" t="s">
        <v>252</v>
      </c>
      <c r="F92" s="139">
        <v>54350355</v>
      </c>
    </row>
    <row r="93" spans="1:6">
      <c r="A93" s="135">
        <v>6297</v>
      </c>
      <c r="B93" s="136" t="s">
        <v>304</v>
      </c>
      <c r="C93" s="136" t="s">
        <v>305</v>
      </c>
      <c r="D93" s="136" t="s">
        <v>306</v>
      </c>
      <c r="E93" s="136" t="s">
        <v>252</v>
      </c>
      <c r="F93" s="139">
        <v>54330902</v>
      </c>
    </row>
    <row r="94" spans="1:6">
      <c r="A94" s="135">
        <v>6637</v>
      </c>
      <c r="B94" s="136" t="s">
        <v>258</v>
      </c>
      <c r="C94" s="136" t="s">
        <v>259</v>
      </c>
      <c r="D94" s="136" t="s">
        <v>251</v>
      </c>
      <c r="E94" s="136" t="s">
        <v>252</v>
      </c>
      <c r="F94" s="139">
        <v>50710000</v>
      </c>
    </row>
    <row r="95" spans="1:6">
      <c r="A95" s="135">
        <v>6645</v>
      </c>
      <c r="B95" s="136" t="s">
        <v>249</v>
      </c>
      <c r="C95" s="136" t="s">
        <v>250</v>
      </c>
      <c r="D95" s="136" t="s">
        <v>251</v>
      </c>
      <c r="E95" s="136" t="s">
        <v>252</v>
      </c>
      <c r="F95" s="139">
        <v>51020041</v>
      </c>
    </row>
    <row r="96" spans="1:6">
      <c r="A96" s="135">
        <v>6173</v>
      </c>
      <c r="B96" s="136" t="s">
        <v>650</v>
      </c>
      <c r="C96" s="136" t="s">
        <v>250</v>
      </c>
      <c r="D96" s="136" t="s">
        <v>251</v>
      </c>
      <c r="E96" s="136" t="s">
        <v>252</v>
      </c>
      <c r="F96" s="139">
        <v>51020041</v>
      </c>
    </row>
    <row r="97" spans="1:6">
      <c r="A97" s="135">
        <v>6416</v>
      </c>
      <c r="B97" s="136" t="s">
        <v>299</v>
      </c>
      <c r="C97" s="136" t="s">
        <v>300</v>
      </c>
      <c r="D97" s="136" t="s">
        <v>251</v>
      </c>
      <c r="E97" s="136" t="s">
        <v>252</v>
      </c>
      <c r="F97" s="139">
        <v>51030840</v>
      </c>
    </row>
    <row r="98" spans="1:6">
      <c r="A98" s="135">
        <v>3700</v>
      </c>
      <c r="B98" s="136" t="s">
        <v>639</v>
      </c>
      <c r="C98" s="136" t="s">
        <v>300</v>
      </c>
      <c r="D98" s="136" t="s">
        <v>251</v>
      </c>
      <c r="E98" s="136" t="s">
        <v>252</v>
      </c>
      <c r="F98" s="139">
        <v>51030840</v>
      </c>
    </row>
    <row r="99" spans="1:6">
      <c r="A99" s="135">
        <v>6424</v>
      </c>
      <c r="B99" s="136" t="s">
        <v>651</v>
      </c>
      <c r="C99" s="136" t="s">
        <v>652</v>
      </c>
      <c r="D99" s="136" t="s">
        <v>251</v>
      </c>
      <c r="E99" s="136" t="s">
        <v>252</v>
      </c>
      <c r="F99" s="139">
        <v>52061540</v>
      </c>
    </row>
    <row r="100" spans="1:6">
      <c r="A100" s="135">
        <v>3522</v>
      </c>
      <c r="B100" s="136" t="s">
        <v>456</v>
      </c>
      <c r="C100" s="136" t="s">
        <v>457</v>
      </c>
      <c r="D100" s="136" t="s">
        <v>251</v>
      </c>
      <c r="E100" s="136" t="s">
        <v>252</v>
      </c>
      <c r="F100" s="139">
        <v>50710901</v>
      </c>
    </row>
    <row r="101" spans="1:6">
      <c r="A101" s="135">
        <v>1520</v>
      </c>
      <c r="B101" s="136" t="s">
        <v>653</v>
      </c>
      <c r="C101" s="136" t="s">
        <v>457</v>
      </c>
      <c r="D101" s="136" t="s">
        <v>251</v>
      </c>
      <c r="E101" s="136" t="s">
        <v>252</v>
      </c>
      <c r="F101" s="139">
        <v>50710000</v>
      </c>
    </row>
    <row r="102" spans="1:6">
      <c r="A102" s="135">
        <v>3697</v>
      </c>
      <c r="B102" s="136" t="s">
        <v>685</v>
      </c>
      <c r="C102" s="136" t="s">
        <v>457</v>
      </c>
      <c r="D102" s="136" t="s">
        <v>251</v>
      </c>
      <c r="E102" s="136" t="s">
        <v>252</v>
      </c>
      <c r="F102" s="139">
        <v>50710000</v>
      </c>
    </row>
    <row r="103" spans="1:6">
      <c r="A103" s="135">
        <v>4138</v>
      </c>
      <c r="B103" s="136" t="s">
        <v>452</v>
      </c>
      <c r="C103" s="136" t="s">
        <v>453</v>
      </c>
      <c r="D103" s="136" t="s">
        <v>243</v>
      </c>
      <c r="E103" s="136" t="s">
        <v>240</v>
      </c>
      <c r="F103" s="139">
        <v>80740030</v>
      </c>
    </row>
    <row r="104" spans="1:6">
      <c r="A104" s="135">
        <v>4650</v>
      </c>
      <c r="B104" s="136" t="s">
        <v>472</v>
      </c>
      <c r="C104" s="136" t="s">
        <v>473</v>
      </c>
      <c r="D104" s="136" t="s">
        <v>243</v>
      </c>
      <c r="E104" s="136" t="s">
        <v>240</v>
      </c>
      <c r="F104" s="139">
        <v>80430100</v>
      </c>
    </row>
    <row r="105" spans="1:6">
      <c r="A105" s="135">
        <v>1147</v>
      </c>
      <c r="B105" s="136" t="s">
        <v>241</v>
      </c>
      <c r="C105" s="136" t="s">
        <v>242</v>
      </c>
      <c r="D105" s="136" t="s">
        <v>243</v>
      </c>
      <c r="E105" s="136" t="s">
        <v>240</v>
      </c>
      <c r="F105" s="139">
        <v>81200110</v>
      </c>
    </row>
    <row r="106" spans="1:6">
      <c r="A106" s="135">
        <v>3743</v>
      </c>
      <c r="B106" s="136" t="s">
        <v>692</v>
      </c>
      <c r="C106" s="136" t="s">
        <v>242</v>
      </c>
      <c r="D106" s="136" t="s">
        <v>243</v>
      </c>
      <c r="E106" s="136" t="s">
        <v>240</v>
      </c>
      <c r="F106" s="139">
        <v>81200110</v>
      </c>
    </row>
    <row r="107" spans="1:6">
      <c r="A107" s="135">
        <v>1660</v>
      </c>
      <c r="B107" s="136" t="s">
        <v>244</v>
      </c>
      <c r="C107" s="136" t="s">
        <v>245</v>
      </c>
      <c r="D107" s="136" t="s">
        <v>243</v>
      </c>
      <c r="E107" s="136" t="s">
        <v>240</v>
      </c>
      <c r="F107" s="139">
        <v>80220000</v>
      </c>
    </row>
    <row r="108" spans="1:6">
      <c r="A108" s="135">
        <v>1287</v>
      </c>
      <c r="B108" s="136" t="s">
        <v>374</v>
      </c>
      <c r="C108" s="136" t="s">
        <v>375</v>
      </c>
      <c r="D108" s="136" t="s">
        <v>376</v>
      </c>
      <c r="E108" s="136" t="s">
        <v>240</v>
      </c>
      <c r="F108" s="139">
        <v>86057230</v>
      </c>
    </row>
    <row r="109" spans="1:6">
      <c r="A109" s="135">
        <v>4243</v>
      </c>
      <c r="B109" s="136" t="s">
        <v>521</v>
      </c>
      <c r="C109" s="136" t="s">
        <v>375</v>
      </c>
      <c r="D109" s="136" t="s">
        <v>376</v>
      </c>
      <c r="E109" s="136" t="s">
        <v>240</v>
      </c>
      <c r="F109" s="139">
        <v>86050901</v>
      </c>
    </row>
    <row r="110" spans="1:6">
      <c r="A110" s="135">
        <v>1090</v>
      </c>
      <c r="B110" s="136" t="s">
        <v>237</v>
      </c>
      <c r="C110" s="136" t="s">
        <v>238</v>
      </c>
      <c r="D110" s="136" t="s">
        <v>239</v>
      </c>
      <c r="E110" s="136" t="s">
        <v>240</v>
      </c>
      <c r="F110" s="139">
        <v>83302005</v>
      </c>
    </row>
    <row r="111" spans="1:6">
      <c r="A111" s="135">
        <v>4235</v>
      </c>
      <c r="B111" s="136" t="s">
        <v>465</v>
      </c>
      <c r="C111" s="136" t="s">
        <v>238</v>
      </c>
      <c r="D111" s="136" t="s">
        <v>239</v>
      </c>
      <c r="E111" s="136" t="s">
        <v>240</v>
      </c>
      <c r="F111" s="139">
        <v>83302005</v>
      </c>
    </row>
    <row r="112" spans="1:6">
      <c r="A112" s="135">
        <v>1856</v>
      </c>
      <c r="B112" s="136" t="s">
        <v>126</v>
      </c>
      <c r="C112" s="136" t="s">
        <v>110</v>
      </c>
      <c r="D112" s="136" t="s">
        <v>127</v>
      </c>
      <c r="E112" s="136" t="s">
        <v>57</v>
      </c>
      <c r="F112" s="139">
        <v>26113420</v>
      </c>
    </row>
    <row r="113" spans="1:6">
      <c r="A113" s="135">
        <v>4057</v>
      </c>
      <c r="B113" s="136" t="s">
        <v>446</v>
      </c>
      <c r="C113" s="136" t="s">
        <v>110</v>
      </c>
      <c r="D113" s="136" t="s">
        <v>127</v>
      </c>
      <c r="E113" s="136" t="s">
        <v>57</v>
      </c>
      <c r="F113" s="139">
        <v>26113420</v>
      </c>
    </row>
    <row r="114" spans="1:6">
      <c r="A114" s="135">
        <v>4022</v>
      </c>
      <c r="B114" s="136" t="s">
        <v>470</v>
      </c>
      <c r="C114" s="136" t="s">
        <v>471</v>
      </c>
      <c r="D114" s="136" t="s">
        <v>144</v>
      </c>
      <c r="E114" s="136" t="s">
        <v>57</v>
      </c>
      <c r="F114" s="139">
        <v>25055009</v>
      </c>
    </row>
    <row r="115" spans="1:6">
      <c r="A115" s="135">
        <v>3786</v>
      </c>
      <c r="B115" s="136" t="s">
        <v>142</v>
      </c>
      <c r="C115" s="136" t="s">
        <v>143</v>
      </c>
      <c r="D115" s="136" t="s">
        <v>144</v>
      </c>
      <c r="E115" s="136" t="s">
        <v>57</v>
      </c>
      <c r="F115" s="139">
        <v>25085370</v>
      </c>
    </row>
    <row r="116" spans="1:6">
      <c r="A116" s="135">
        <v>3794</v>
      </c>
      <c r="B116" s="136" t="s">
        <v>590</v>
      </c>
      <c r="C116" s="136" t="s">
        <v>143</v>
      </c>
      <c r="D116" s="136" t="s">
        <v>144</v>
      </c>
      <c r="E116" s="136" t="s">
        <v>57</v>
      </c>
      <c r="F116" s="139">
        <v>25085370</v>
      </c>
    </row>
    <row r="117" spans="1:6">
      <c r="A117" s="135">
        <v>4030</v>
      </c>
      <c r="B117" s="136" t="s">
        <v>536</v>
      </c>
      <c r="C117" s="136" t="s">
        <v>110</v>
      </c>
      <c r="D117" s="136" t="s">
        <v>537</v>
      </c>
      <c r="E117" s="136" t="s">
        <v>57</v>
      </c>
      <c r="F117" s="139">
        <v>24020000</v>
      </c>
    </row>
    <row r="118" spans="1:6">
      <c r="A118" s="135">
        <v>3263</v>
      </c>
      <c r="B118" s="136" t="s">
        <v>683</v>
      </c>
      <c r="C118" s="136" t="s">
        <v>110</v>
      </c>
      <c r="D118" s="136" t="s">
        <v>537</v>
      </c>
      <c r="E118" s="136" t="s">
        <v>57</v>
      </c>
      <c r="F118" s="139">
        <v>24020000</v>
      </c>
    </row>
    <row r="119" spans="1:6">
      <c r="A119" s="135">
        <v>4049</v>
      </c>
      <c r="B119" s="136" t="s">
        <v>531</v>
      </c>
      <c r="C119" s="136" t="s">
        <v>532</v>
      </c>
      <c r="D119" s="136" t="s">
        <v>187</v>
      </c>
      <c r="E119" s="136" t="s">
        <v>57</v>
      </c>
      <c r="F119" s="139">
        <v>26220110</v>
      </c>
    </row>
    <row r="120" spans="1:6">
      <c r="A120" s="135">
        <v>1821</v>
      </c>
      <c r="B120" s="136" t="s">
        <v>422</v>
      </c>
      <c r="C120" s="136" t="s">
        <v>423</v>
      </c>
      <c r="D120" s="136" t="s">
        <v>187</v>
      </c>
      <c r="E120" s="136" t="s">
        <v>57</v>
      </c>
      <c r="F120" s="139">
        <v>26220110</v>
      </c>
    </row>
    <row r="121" spans="1:6">
      <c r="A121" s="135">
        <v>1783</v>
      </c>
      <c r="B121" s="136" t="s">
        <v>671</v>
      </c>
      <c r="C121" s="136" t="s">
        <v>471</v>
      </c>
      <c r="D121" s="136" t="s">
        <v>56</v>
      </c>
      <c r="E121" s="136" t="s">
        <v>57</v>
      </c>
      <c r="F121" s="139">
        <v>25065000</v>
      </c>
    </row>
    <row r="122" spans="1:6">
      <c r="A122" s="135">
        <v>3875</v>
      </c>
      <c r="B122" s="136" t="s">
        <v>438</v>
      </c>
      <c r="C122" s="136" t="s">
        <v>439</v>
      </c>
      <c r="D122" s="136" t="s">
        <v>56</v>
      </c>
      <c r="E122" s="136" t="s">
        <v>57</v>
      </c>
      <c r="F122" s="139">
        <v>22631004</v>
      </c>
    </row>
    <row r="123" spans="1:6">
      <c r="A123" s="135">
        <v>1023</v>
      </c>
      <c r="B123" s="136" t="s">
        <v>670</v>
      </c>
      <c r="C123" s="136" t="s">
        <v>439</v>
      </c>
      <c r="D123" s="136" t="s">
        <v>56</v>
      </c>
      <c r="E123" s="136" t="s">
        <v>57</v>
      </c>
      <c r="F123" s="139">
        <v>22640102</v>
      </c>
    </row>
    <row r="124" spans="1:6">
      <c r="A124" s="135">
        <v>3271</v>
      </c>
      <c r="B124" s="136" t="s">
        <v>131</v>
      </c>
      <c r="C124" s="136" t="s">
        <v>132</v>
      </c>
      <c r="D124" s="136" t="s">
        <v>56</v>
      </c>
      <c r="E124" s="136" t="s">
        <v>57</v>
      </c>
      <c r="F124" s="139">
        <v>23085660</v>
      </c>
    </row>
    <row r="125" spans="1:6">
      <c r="A125" s="135">
        <v>3140</v>
      </c>
      <c r="B125" s="136" t="s">
        <v>451</v>
      </c>
      <c r="C125" s="136" t="s">
        <v>132</v>
      </c>
      <c r="D125" s="136" t="s">
        <v>56</v>
      </c>
      <c r="E125" s="136" t="s">
        <v>57</v>
      </c>
      <c r="F125" s="139">
        <v>21070480</v>
      </c>
    </row>
    <row r="126" spans="1:6">
      <c r="A126" s="135">
        <v>2828</v>
      </c>
      <c r="B126" s="136" t="s">
        <v>641</v>
      </c>
      <c r="C126" s="136" t="s">
        <v>642</v>
      </c>
      <c r="D126" s="136" t="s">
        <v>56</v>
      </c>
      <c r="E126" s="136" t="s">
        <v>57</v>
      </c>
      <c r="F126" s="139">
        <v>21530010</v>
      </c>
    </row>
    <row r="127" spans="1:6">
      <c r="A127" s="135">
        <v>3000</v>
      </c>
      <c r="B127" s="136" t="s">
        <v>248</v>
      </c>
      <c r="C127" s="136" t="s">
        <v>144</v>
      </c>
      <c r="D127" s="136" t="s">
        <v>56</v>
      </c>
      <c r="E127" s="136" t="s">
        <v>57</v>
      </c>
      <c r="F127" s="139">
        <v>25071180</v>
      </c>
    </row>
    <row r="128" spans="1:6">
      <c r="A128" s="135">
        <v>3360</v>
      </c>
      <c r="B128" s="136" t="s">
        <v>591</v>
      </c>
      <c r="C128" s="136" t="s">
        <v>144</v>
      </c>
      <c r="D128" s="136" t="s">
        <v>56</v>
      </c>
      <c r="E128" s="136" t="s">
        <v>57</v>
      </c>
      <c r="F128" s="139">
        <v>25020140</v>
      </c>
    </row>
    <row r="129" spans="1:6">
      <c r="A129" s="135">
        <v>1112</v>
      </c>
      <c r="B129" s="136" t="s">
        <v>677</v>
      </c>
      <c r="C129" s="136" t="s">
        <v>678</v>
      </c>
      <c r="D129" s="136" t="s">
        <v>56</v>
      </c>
      <c r="E129" s="136" t="s">
        <v>57</v>
      </c>
      <c r="F129" s="139">
        <v>20771004</v>
      </c>
    </row>
    <row r="130" spans="1:6">
      <c r="A130" s="135">
        <v>3158</v>
      </c>
      <c r="B130" s="136" t="s">
        <v>654</v>
      </c>
      <c r="C130" s="136" t="s">
        <v>655</v>
      </c>
      <c r="D130" s="136" t="s">
        <v>56</v>
      </c>
      <c r="E130" s="136" t="s">
        <v>57</v>
      </c>
      <c r="F130" s="139">
        <v>21070480</v>
      </c>
    </row>
    <row r="131" spans="1:6">
      <c r="A131" s="135">
        <v>1872</v>
      </c>
      <c r="B131" s="136" t="s">
        <v>170</v>
      </c>
      <c r="C131" s="136" t="s">
        <v>171</v>
      </c>
      <c r="D131" s="136" t="s">
        <v>56</v>
      </c>
      <c r="E131" s="136" t="s">
        <v>57</v>
      </c>
      <c r="F131" s="139">
        <v>21660000</v>
      </c>
    </row>
    <row r="132" spans="1:6">
      <c r="A132" s="135">
        <v>3859</v>
      </c>
      <c r="B132" s="136" t="s">
        <v>492</v>
      </c>
      <c r="C132" s="136" t="s">
        <v>171</v>
      </c>
      <c r="D132" s="136" t="s">
        <v>56</v>
      </c>
      <c r="E132" s="136" t="s">
        <v>57</v>
      </c>
      <c r="F132" s="139">
        <v>21660000</v>
      </c>
    </row>
    <row r="133" spans="1:6">
      <c r="A133" s="135">
        <v>2810</v>
      </c>
      <c r="B133" s="136" t="s">
        <v>666</v>
      </c>
      <c r="C133" s="136" t="s">
        <v>667</v>
      </c>
      <c r="D133" s="136" t="s">
        <v>56</v>
      </c>
      <c r="E133" s="136" t="s">
        <v>57</v>
      </c>
      <c r="F133" s="139">
        <v>20766720</v>
      </c>
    </row>
    <row r="134" spans="1:6">
      <c r="A134" s="135">
        <v>4065</v>
      </c>
      <c r="B134" s="136" t="s">
        <v>582</v>
      </c>
      <c r="C134" s="136" t="s">
        <v>583</v>
      </c>
      <c r="D134" s="136" t="s">
        <v>56</v>
      </c>
      <c r="E134" s="136" t="s">
        <v>57</v>
      </c>
      <c r="F134" s="139">
        <v>21750000</v>
      </c>
    </row>
    <row r="135" spans="1:6">
      <c r="A135" s="135">
        <v>1449</v>
      </c>
      <c r="B135" s="136" t="s">
        <v>673</v>
      </c>
      <c r="C135" s="136" t="s">
        <v>674</v>
      </c>
      <c r="D135" s="136" t="s">
        <v>56</v>
      </c>
      <c r="E135" s="136" t="s">
        <v>57</v>
      </c>
      <c r="F135" s="139">
        <v>21740000</v>
      </c>
    </row>
    <row r="136" spans="1:6">
      <c r="A136" s="135">
        <v>2844</v>
      </c>
      <c r="B136" s="136" t="s">
        <v>679</v>
      </c>
      <c r="C136" s="136" t="s">
        <v>680</v>
      </c>
      <c r="D136" s="136" t="s">
        <v>56</v>
      </c>
      <c r="E136" s="136" t="s">
        <v>57</v>
      </c>
      <c r="F136" s="139">
        <v>21360201</v>
      </c>
    </row>
    <row r="137" spans="1:6">
      <c r="A137" s="135">
        <v>6203</v>
      </c>
      <c r="B137" s="136" t="s">
        <v>54</v>
      </c>
      <c r="C137" s="136" t="s">
        <v>55</v>
      </c>
      <c r="D137" s="136" t="s">
        <v>56</v>
      </c>
      <c r="E137" s="136" t="s">
        <v>57</v>
      </c>
      <c r="F137" s="139">
        <v>21220110</v>
      </c>
    </row>
    <row r="138" spans="1:6">
      <c r="A138" s="135">
        <v>2933</v>
      </c>
      <c r="B138" s="136" t="s">
        <v>186</v>
      </c>
      <c r="C138" s="136" t="s">
        <v>187</v>
      </c>
      <c r="D138" s="136" t="s">
        <v>56</v>
      </c>
      <c r="E138" s="136" t="s">
        <v>57</v>
      </c>
      <c r="F138" s="139">
        <v>26221030</v>
      </c>
    </row>
    <row r="139" spans="1:6">
      <c r="A139" s="135">
        <v>3042</v>
      </c>
      <c r="B139" s="136" t="s">
        <v>193</v>
      </c>
      <c r="C139" s="136" t="s">
        <v>194</v>
      </c>
      <c r="D139" s="136" t="s">
        <v>56</v>
      </c>
      <c r="E139" s="136" t="s">
        <v>57</v>
      </c>
      <c r="F139" s="139">
        <v>21060070</v>
      </c>
    </row>
    <row r="140" spans="1:6">
      <c r="A140" s="135">
        <v>2801</v>
      </c>
      <c r="B140" s="136" t="s">
        <v>688</v>
      </c>
      <c r="C140" s="136" t="s">
        <v>689</v>
      </c>
      <c r="D140" s="136" t="s">
        <v>56</v>
      </c>
      <c r="E140" s="136" t="s">
        <v>57</v>
      </c>
      <c r="F140" s="139">
        <v>21250450</v>
      </c>
    </row>
    <row r="141" spans="1:6">
      <c r="A141" s="135">
        <v>3409</v>
      </c>
      <c r="B141" s="136" t="s">
        <v>697</v>
      </c>
      <c r="C141" s="136" t="s">
        <v>647</v>
      </c>
      <c r="D141" s="136" t="s">
        <v>56</v>
      </c>
      <c r="E141" s="136" t="s">
        <v>57</v>
      </c>
      <c r="F141" s="139">
        <v>21070480</v>
      </c>
    </row>
    <row r="142" spans="1:6">
      <c r="A142" s="135">
        <v>2798</v>
      </c>
      <c r="B142" s="136" t="s">
        <v>706</v>
      </c>
      <c r="C142" s="136" t="s">
        <v>647</v>
      </c>
      <c r="D142" s="136" t="s">
        <v>56</v>
      </c>
      <c r="E142" s="136" t="s">
        <v>57</v>
      </c>
      <c r="F142" s="139">
        <v>21070480</v>
      </c>
    </row>
    <row r="143" spans="1:6">
      <c r="A143" s="135">
        <v>3182</v>
      </c>
      <c r="B143" s="136" t="s">
        <v>156</v>
      </c>
      <c r="C143" s="136" t="s">
        <v>157</v>
      </c>
      <c r="D143" s="136" t="s">
        <v>56</v>
      </c>
      <c r="E143" s="136" t="s">
        <v>57</v>
      </c>
      <c r="F143" s="139">
        <v>23360000</v>
      </c>
    </row>
    <row r="144" spans="1:6">
      <c r="A144" s="135">
        <v>3034</v>
      </c>
      <c r="B144" s="136" t="s">
        <v>695</v>
      </c>
      <c r="C144" s="136" t="s">
        <v>696</v>
      </c>
      <c r="D144" s="136" t="s">
        <v>56</v>
      </c>
      <c r="E144" s="136" t="s">
        <v>57</v>
      </c>
      <c r="F144" s="139">
        <v>21710160</v>
      </c>
    </row>
    <row r="145" spans="1:6">
      <c r="A145" s="135">
        <v>2925</v>
      </c>
      <c r="B145" s="136" t="s">
        <v>223</v>
      </c>
      <c r="C145" s="136" t="s">
        <v>224</v>
      </c>
      <c r="D145" s="136" t="s">
        <v>56</v>
      </c>
      <c r="E145" s="136" t="s">
        <v>57</v>
      </c>
      <c r="F145" s="139">
        <v>20520054</v>
      </c>
    </row>
    <row r="146" spans="1:6">
      <c r="A146" s="135">
        <v>3069</v>
      </c>
      <c r="B146" s="136" t="s">
        <v>698</v>
      </c>
      <c r="C146" s="136" t="s">
        <v>699</v>
      </c>
      <c r="D146" s="136" t="s">
        <v>56</v>
      </c>
      <c r="E146" s="136" t="s">
        <v>57</v>
      </c>
      <c r="F146" s="139">
        <v>23550000</v>
      </c>
    </row>
    <row r="147" spans="1:6">
      <c r="A147" s="135">
        <v>3336</v>
      </c>
      <c r="B147" s="136" t="s">
        <v>707</v>
      </c>
      <c r="C147" s="136" t="s">
        <v>699</v>
      </c>
      <c r="D147" s="136" t="s">
        <v>56</v>
      </c>
      <c r="E147" s="136" t="s">
        <v>57</v>
      </c>
      <c r="F147" s="139">
        <v>23515010</v>
      </c>
    </row>
    <row r="148" spans="1:6">
      <c r="A148" s="135">
        <v>3867</v>
      </c>
      <c r="B148" s="136" t="s">
        <v>430</v>
      </c>
      <c r="C148" s="136" t="s">
        <v>431</v>
      </c>
      <c r="D148" s="136" t="s">
        <v>56</v>
      </c>
      <c r="E148" s="136" t="s">
        <v>57</v>
      </c>
      <c r="F148" s="139">
        <v>21210000</v>
      </c>
    </row>
    <row r="149" spans="1:6">
      <c r="A149" s="135">
        <v>1309</v>
      </c>
      <c r="B149" s="136" t="s">
        <v>668</v>
      </c>
      <c r="C149" s="136" t="s">
        <v>669</v>
      </c>
      <c r="D149" s="136" t="s">
        <v>56</v>
      </c>
      <c r="E149" s="136" t="s">
        <v>57</v>
      </c>
      <c r="F149" s="139">
        <v>21210000</v>
      </c>
    </row>
    <row r="150" spans="1:6">
      <c r="A150" s="135">
        <v>2950</v>
      </c>
      <c r="B150" s="136" t="s">
        <v>260</v>
      </c>
      <c r="C150" s="136" t="s">
        <v>261</v>
      </c>
      <c r="D150" s="136" t="s">
        <v>56</v>
      </c>
      <c r="E150" s="136" t="s">
        <v>57</v>
      </c>
      <c r="F150" s="139">
        <v>212356000</v>
      </c>
    </row>
    <row r="151" spans="1:6">
      <c r="A151" s="135">
        <v>1910</v>
      </c>
      <c r="B151" s="136" t="s">
        <v>646</v>
      </c>
      <c r="C151" s="136" t="s">
        <v>647</v>
      </c>
      <c r="D151" s="136" t="s">
        <v>648</v>
      </c>
      <c r="E151" s="136" t="s">
        <v>57</v>
      </c>
      <c r="F151" s="139">
        <v>21011010</v>
      </c>
    </row>
    <row r="152" spans="1:6">
      <c r="A152" s="135">
        <v>3310</v>
      </c>
      <c r="B152" s="136" t="s">
        <v>121</v>
      </c>
      <c r="C152" s="136" t="s">
        <v>122</v>
      </c>
      <c r="D152" s="136" t="s">
        <v>123</v>
      </c>
      <c r="E152" s="136" t="s">
        <v>57</v>
      </c>
      <c r="F152" s="139">
        <v>24452001</v>
      </c>
    </row>
    <row r="153" spans="1:6">
      <c r="A153" s="135">
        <v>1317</v>
      </c>
      <c r="B153" s="136" t="s">
        <v>675</v>
      </c>
      <c r="C153" s="136" t="s">
        <v>676</v>
      </c>
      <c r="D153" s="136" t="s">
        <v>123</v>
      </c>
      <c r="E153" s="136" t="s">
        <v>57</v>
      </c>
      <c r="F153" s="139">
        <v>24425000</v>
      </c>
    </row>
    <row r="154" spans="1:6">
      <c r="A154" s="135">
        <v>4014</v>
      </c>
      <c r="B154" s="136" t="s">
        <v>522</v>
      </c>
      <c r="C154" s="136" t="s">
        <v>523</v>
      </c>
      <c r="D154" s="136" t="s">
        <v>123</v>
      </c>
      <c r="E154" s="136" t="s">
        <v>57</v>
      </c>
      <c r="F154" s="139">
        <v>24425000</v>
      </c>
    </row>
    <row r="155" spans="1:6">
      <c r="A155" s="135">
        <v>3492</v>
      </c>
      <c r="B155" s="136" t="s">
        <v>212</v>
      </c>
      <c r="C155" s="136" t="s">
        <v>213</v>
      </c>
      <c r="D155" s="136" t="s">
        <v>214</v>
      </c>
      <c r="E155" s="136" t="s">
        <v>57</v>
      </c>
      <c r="F155" s="139">
        <v>25581330</v>
      </c>
    </row>
    <row r="156" spans="1:6">
      <c r="A156" s="135">
        <v>6254</v>
      </c>
      <c r="B156" s="136" t="s">
        <v>50</v>
      </c>
      <c r="C156" s="136" t="s">
        <v>51</v>
      </c>
      <c r="D156" s="136" t="s">
        <v>52</v>
      </c>
      <c r="E156" s="136" t="s">
        <v>53</v>
      </c>
      <c r="F156" s="139">
        <v>59600000</v>
      </c>
    </row>
    <row r="157" spans="1:6">
      <c r="A157" s="135">
        <v>6190</v>
      </c>
      <c r="B157" s="136" t="s">
        <v>289</v>
      </c>
      <c r="C157" s="136" t="s">
        <v>290</v>
      </c>
      <c r="D157" s="136" t="s">
        <v>291</v>
      </c>
      <c r="E157" s="136" t="s">
        <v>53</v>
      </c>
      <c r="F157" s="139">
        <v>59066180</v>
      </c>
    </row>
    <row r="158" spans="1:6">
      <c r="A158" s="135">
        <v>1600</v>
      </c>
      <c r="B158" s="136" t="s">
        <v>424</v>
      </c>
      <c r="C158" s="136" t="s">
        <v>425</v>
      </c>
      <c r="D158" s="136" t="s">
        <v>291</v>
      </c>
      <c r="E158" s="136" t="s">
        <v>53</v>
      </c>
      <c r="F158" s="139">
        <v>59037155</v>
      </c>
    </row>
    <row r="159" spans="1:6">
      <c r="A159" s="135">
        <v>3751</v>
      </c>
      <c r="B159" s="136" t="s">
        <v>658</v>
      </c>
      <c r="C159" s="136" t="s">
        <v>425</v>
      </c>
      <c r="D159" s="136" t="s">
        <v>291</v>
      </c>
      <c r="E159" s="136" t="s">
        <v>53</v>
      </c>
      <c r="F159" s="139">
        <v>59063904</v>
      </c>
    </row>
    <row r="160" spans="1:6">
      <c r="A160" s="135">
        <v>4189</v>
      </c>
      <c r="B160" s="136" t="s">
        <v>426</v>
      </c>
      <c r="C160" s="136" t="s">
        <v>427</v>
      </c>
      <c r="D160" s="136" t="s">
        <v>291</v>
      </c>
      <c r="E160" s="136" t="s">
        <v>53</v>
      </c>
      <c r="F160" s="139">
        <v>59108200</v>
      </c>
    </row>
    <row r="161" spans="1:6">
      <c r="A161" s="135">
        <v>4367</v>
      </c>
      <c r="B161" s="136" t="s">
        <v>535</v>
      </c>
      <c r="C161" s="136" t="s">
        <v>427</v>
      </c>
      <c r="D161" s="136" t="s">
        <v>291</v>
      </c>
      <c r="E161" s="136" t="s">
        <v>53</v>
      </c>
      <c r="F161" s="139">
        <v>59066270</v>
      </c>
    </row>
    <row r="162" spans="1:6">
      <c r="A162" s="135">
        <v>1503</v>
      </c>
      <c r="B162" s="136" t="s">
        <v>188</v>
      </c>
      <c r="C162" s="136" t="s">
        <v>189</v>
      </c>
      <c r="D162" s="136" t="s">
        <v>190</v>
      </c>
      <c r="E162" s="136" t="s">
        <v>161</v>
      </c>
      <c r="F162" s="139">
        <v>92310300</v>
      </c>
    </row>
    <row r="163" spans="1:6">
      <c r="A163" s="135">
        <v>1406</v>
      </c>
      <c r="B163" s="136" t="s">
        <v>246</v>
      </c>
      <c r="C163" s="136" t="s">
        <v>154</v>
      </c>
      <c r="D163" s="136" t="s">
        <v>247</v>
      </c>
      <c r="E163" s="136" t="s">
        <v>161</v>
      </c>
      <c r="F163" s="139">
        <v>95010550</v>
      </c>
    </row>
    <row r="164" spans="1:6">
      <c r="A164" s="135">
        <v>1414</v>
      </c>
      <c r="B164" s="136" t="s">
        <v>158</v>
      </c>
      <c r="C164" s="136" t="s">
        <v>159</v>
      </c>
      <c r="D164" s="136" t="s">
        <v>160</v>
      </c>
      <c r="E164" s="136" t="s">
        <v>161</v>
      </c>
      <c r="F164" s="139">
        <v>932700000</v>
      </c>
    </row>
    <row r="165" spans="1:6">
      <c r="A165" s="135">
        <v>4618</v>
      </c>
      <c r="B165" s="136" t="s">
        <v>603</v>
      </c>
      <c r="C165" s="136" t="s">
        <v>604</v>
      </c>
      <c r="D165" s="136" t="s">
        <v>160</v>
      </c>
      <c r="E165" s="136" t="s">
        <v>161</v>
      </c>
      <c r="F165" s="139">
        <v>93270000</v>
      </c>
    </row>
    <row r="166" spans="1:6">
      <c r="A166" s="135">
        <v>4960</v>
      </c>
      <c r="B166" s="136" t="s">
        <v>497</v>
      </c>
      <c r="C166" s="136" t="s">
        <v>110</v>
      </c>
      <c r="D166" s="136" t="s">
        <v>356</v>
      </c>
      <c r="E166" s="136" t="s">
        <v>161</v>
      </c>
      <c r="F166" s="139">
        <v>94000000</v>
      </c>
    </row>
    <row r="167" spans="1:6">
      <c r="A167" s="135">
        <v>4910</v>
      </c>
      <c r="B167" s="136" t="s">
        <v>354</v>
      </c>
      <c r="C167" s="136" t="s">
        <v>355</v>
      </c>
      <c r="D167" s="136" t="s">
        <v>356</v>
      </c>
      <c r="E167" s="136" t="s">
        <v>161</v>
      </c>
      <c r="F167" s="139">
        <v>94030000</v>
      </c>
    </row>
    <row r="168" spans="1:6">
      <c r="A168" s="135">
        <v>1481</v>
      </c>
      <c r="B168" s="136" t="s">
        <v>419</v>
      </c>
      <c r="C168" s="136" t="s">
        <v>420</v>
      </c>
      <c r="D168" s="136" t="s">
        <v>421</v>
      </c>
      <c r="E168" s="136" t="s">
        <v>161</v>
      </c>
      <c r="F168" s="139">
        <v>93320020</v>
      </c>
    </row>
    <row r="169" spans="1:6">
      <c r="A169" s="135">
        <v>4324</v>
      </c>
      <c r="B169" s="136" t="s">
        <v>483</v>
      </c>
      <c r="C169" s="136" t="s">
        <v>484</v>
      </c>
      <c r="D169" s="136" t="s">
        <v>476</v>
      </c>
      <c r="E169" s="136" t="s">
        <v>161</v>
      </c>
      <c r="F169" s="139">
        <v>91900000</v>
      </c>
    </row>
    <row r="170" spans="1:6">
      <c r="A170" s="135">
        <v>4316</v>
      </c>
      <c r="B170" s="136" t="s">
        <v>612</v>
      </c>
      <c r="C170" s="136" t="s">
        <v>613</v>
      </c>
      <c r="D170" s="136" t="s">
        <v>476</v>
      </c>
      <c r="E170" s="136" t="s">
        <v>161</v>
      </c>
      <c r="F170" s="139">
        <v>91530000</v>
      </c>
    </row>
    <row r="171" spans="1:6">
      <c r="A171" s="135">
        <v>4880</v>
      </c>
      <c r="B171" s="136" t="s">
        <v>503</v>
      </c>
      <c r="C171" s="136" t="s">
        <v>504</v>
      </c>
      <c r="D171" s="136" t="s">
        <v>476</v>
      </c>
      <c r="E171" s="136" t="s">
        <v>161</v>
      </c>
      <c r="F171" s="139">
        <v>91060591</v>
      </c>
    </row>
    <row r="172" spans="1:6">
      <c r="A172" s="135">
        <v>4308</v>
      </c>
      <c r="B172" s="136" t="s">
        <v>477</v>
      </c>
      <c r="C172" s="136" t="s">
        <v>478</v>
      </c>
      <c r="D172" s="136" t="s">
        <v>476</v>
      </c>
      <c r="E172" s="136" t="s">
        <v>161</v>
      </c>
      <c r="F172" s="139">
        <v>90150005</v>
      </c>
    </row>
    <row r="173" spans="1:6">
      <c r="A173" s="135">
        <v>4332</v>
      </c>
      <c r="B173" s="136" t="s">
        <v>474</v>
      </c>
      <c r="C173" s="136" t="s">
        <v>475</v>
      </c>
      <c r="D173" s="136" t="s">
        <v>476</v>
      </c>
      <c r="E173" s="136" t="s">
        <v>161</v>
      </c>
      <c r="F173" s="139">
        <v>90230010</v>
      </c>
    </row>
    <row r="174" spans="1:6">
      <c r="A174" s="135">
        <v>1074</v>
      </c>
      <c r="B174" s="136" t="s">
        <v>538</v>
      </c>
      <c r="C174" s="136" t="s">
        <v>539</v>
      </c>
      <c r="D174" s="136" t="s">
        <v>476</v>
      </c>
      <c r="E174" s="136" t="s">
        <v>161</v>
      </c>
      <c r="F174" s="139">
        <v>9153010</v>
      </c>
    </row>
    <row r="175" spans="1:6">
      <c r="A175" s="135">
        <v>3646</v>
      </c>
      <c r="B175" s="136" t="s">
        <v>686</v>
      </c>
      <c r="C175" s="136" t="s">
        <v>687</v>
      </c>
      <c r="D175" s="136" t="s">
        <v>476</v>
      </c>
      <c r="E175" s="136" t="s">
        <v>161</v>
      </c>
      <c r="F175" s="139">
        <v>9153010</v>
      </c>
    </row>
    <row r="176" spans="1:6">
      <c r="A176" s="135">
        <v>1791</v>
      </c>
      <c r="B176" s="136" t="s">
        <v>543</v>
      </c>
      <c r="C176" s="136" t="s">
        <v>544</v>
      </c>
      <c r="D176" s="136" t="s">
        <v>476</v>
      </c>
      <c r="E176" s="136" t="s">
        <v>161</v>
      </c>
      <c r="F176" s="139">
        <v>90520003</v>
      </c>
    </row>
    <row r="177" spans="1:6">
      <c r="A177" s="135">
        <v>4294</v>
      </c>
      <c r="B177" s="136" t="s">
        <v>524</v>
      </c>
      <c r="C177" s="136" t="s">
        <v>525</v>
      </c>
      <c r="D177" s="136" t="s">
        <v>476</v>
      </c>
      <c r="E177" s="136" t="s">
        <v>161</v>
      </c>
      <c r="F177" s="139">
        <v>91310003</v>
      </c>
    </row>
    <row r="178" spans="1:6">
      <c r="A178" s="135">
        <v>4952</v>
      </c>
      <c r="B178" s="136" t="s">
        <v>565</v>
      </c>
      <c r="C178" s="136" t="s">
        <v>566</v>
      </c>
      <c r="D178" s="136" t="s">
        <v>476</v>
      </c>
      <c r="E178" s="136" t="s">
        <v>161</v>
      </c>
      <c r="F178" s="139">
        <v>91110581</v>
      </c>
    </row>
    <row r="179" spans="1:6">
      <c r="A179" s="135">
        <v>4863</v>
      </c>
      <c r="B179" s="136" t="s">
        <v>721</v>
      </c>
      <c r="C179" s="136" t="s">
        <v>110</v>
      </c>
      <c r="D179" s="136" t="s">
        <v>141</v>
      </c>
      <c r="E179" s="136" t="s">
        <v>161</v>
      </c>
      <c r="F179" s="139">
        <v>97010422</v>
      </c>
    </row>
    <row r="180" spans="1:6">
      <c r="A180" s="135">
        <v>6351</v>
      </c>
      <c r="B180" s="136" t="s">
        <v>700</v>
      </c>
      <c r="C180" s="136" t="s">
        <v>701</v>
      </c>
      <c r="D180" s="136" t="s">
        <v>702</v>
      </c>
      <c r="E180" s="136" t="s">
        <v>703</v>
      </c>
      <c r="F180" s="139">
        <v>49082110</v>
      </c>
    </row>
    <row r="181" spans="1:6">
      <c r="A181" s="135">
        <v>6661</v>
      </c>
      <c r="B181" s="136" t="s">
        <v>164</v>
      </c>
      <c r="C181" s="136" t="s">
        <v>165</v>
      </c>
      <c r="D181" s="136" t="s">
        <v>166</v>
      </c>
      <c r="E181" s="136" t="s">
        <v>38</v>
      </c>
      <c r="F181" s="139">
        <v>6423080</v>
      </c>
    </row>
    <row r="182" spans="1:6">
      <c r="A182" s="135">
        <v>3344</v>
      </c>
      <c r="B182" s="136" t="s">
        <v>253</v>
      </c>
      <c r="C182" s="136" t="s">
        <v>254</v>
      </c>
      <c r="D182" s="136" t="s">
        <v>166</v>
      </c>
      <c r="E182" s="136" t="s">
        <v>38</v>
      </c>
      <c r="F182" s="139">
        <v>6400000</v>
      </c>
    </row>
    <row r="183" spans="1:6">
      <c r="A183" s="135">
        <v>4170</v>
      </c>
      <c r="B183" s="136" t="s">
        <v>587</v>
      </c>
      <c r="C183" s="136" t="s">
        <v>588</v>
      </c>
      <c r="D183" s="136" t="s">
        <v>166</v>
      </c>
      <c r="E183" s="136" t="s">
        <v>38</v>
      </c>
      <c r="F183" s="139">
        <v>6460930</v>
      </c>
    </row>
    <row r="184" spans="1:6">
      <c r="A184" s="135">
        <v>1260</v>
      </c>
      <c r="B184" s="136" t="s">
        <v>757</v>
      </c>
      <c r="C184" s="136" t="s">
        <v>588</v>
      </c>
      <c r="D184" s="136" t="s">
        <v>166</v>
      </c>
      <c r="E184" s="136" t="s">
        <v>38</v>
      </c>
      <c r="F184" s="139">
        <v>6460930</v>
      </c>
    </row>
    <row r="185" spans="1:6">
      <c r="A185" s="135">
        <v>3662</v>
      </c>
      <c r="B185" s="136" t="s">
        <v>401</v>
      </c>
      <c r="C185" s="136" t="s">
        <v>110</v>
      </c>
      <c r="D185" s="136" t="s">
        <v>402</v>
      </c>
      <c r="E185" s="136" t="s">
        <v>38</v>
      </c>
      <c r="F185" s="139">
        <v>14700000</v>
      </c>
    </row>
    <row r="186" spans="1:6">
      <c r="A186" s="135">
        <v>3670</v>
      </c>
      <c r="B186" s="136" t="s">
        <v>418</v>
      </c>
      <c r="C186" s="136" t="s">
        <v>110</v>
      </c>
      <c r="D186" s="136" t="s">
        <v>402</v>
      </c>
      <c r="E186" s="136" t="s">
        <v>38</v>
      </c>
      <c r="F186" s="139">
        <v>14700000</v>
      </c>
    </row>
    <row r="187" spans="1:6">
      <c r="A187" s="135">
        <v>3719</v>
      </c>
      <c r="B187" s="136" t="s">
        <v>691</v>
      </c>
      <c r="C187" s="136" t="s">
        <v>141</v>
      </c>
      <c r="D187" s="136" t="s">
        <v>76</v>
      </c>
      <c r="E187" s="136" t="s">
        <v>38</v>
      </c>
      <c r="F187" s="139">
        <v>725011000</v>
      </c>
    </row>
    <row r="188" spans="1:6">
      <c r="A188" s="135">
        <v>3280</v>
      </c>
      <c r="B188" s="136" t="s">
        <v>233</v>
      </c>
      <c r="C188" s="136" t="s">
        <v>110</v>
      </c>
      <c r="D188" s="136" t="s">
        <v>234</v>
      </c>
      <c r="E188" s="136" t="s">
        <v>38</v>
      </c>
      <c r="F188" s="139">
        <v>12287020</v>
      </c>
    </row>
    <row r="189" spans="1:6">
      <c r="A189" s="135">
        <v>4693</v>
      </c>
      <c r="B189" s="136" t="s">
        <v>464</v>
      </c>
      <c r="C189" s="136" t="s">
        <v>110</v>
      </c>
      <c r="D189" s="136" t="s">
        <v>234</v>
      </c>
      <c r="E189" s="136" t="s">
        <v>38</v>
      </c>
      <c r="F189" s="139">
        <v>12287020</v>
      </c>
    </row>
    <row r="190" spans="1:6">
      <c r="A190" s="135">
        <v>1902</v>
      </c>
      <c r="B190" s="136" t="s">
        <v>124</v>
      </c>
      <c r="C190" s="136" t="s">
        <v>125</v>
      </c>
      <c r="D190" s="136" t="s">
        <v>37</v>
      </c>
      <c r="E190" s="136" t="s">
        <v>38</v>
      </c>
      <c r="F190" s="139">
        <v>13025320</v>
      </c>
    </row>
    <row r="191" spans="1:6">
      <c r="A191" s="135">
        <v>6220</v>
      </c>
      <c r="B191" s="136" t="s">
        <v>130</v>
      </c>
      <c r="C191" s="136" t="s">
        <v>125</v>
      </c>
      <c r="D191" s="136" t="s">
        <v>37</v>
      </c>
      <c r="E191" s="136" t="s">
        <v>38</v>
      </c>
      <c r="F191" s="139">
        <v>13024100</v>
      </c>
    </row>
    <row r="192" spans="1:6">
      <c r="A192" s="135">
        <v>4553</v>
      </c>
      <c r="B192" s="136" t="s">
        <v>454</v>
      </c>
      <c r="C192" s="136" t="s">
        <v>455</v>
      </c>
      <c r="D192" s="136" t="s">
        <v>37</v>
      </c>
      <c r="E192" s="136" t="s">
        <v>38</v>
      </c>
      <c r="F192" s="139">
        <v>5576000</v>
      </c>
    </row>
    <row r="193" spans="1:6">
      <c r="A193" s="135">
        <v>5029</v>
      </c>
      <c r="B193" s="136" t="s">
        <v>297</v>
      </c>
      <c r="C193" s="136" t="s">
        <v>298</v>
      </c>
      <c r="D193" s="136" t="s">
        <v>37</v>
      </c>
      <c r="E193" s="136" t="s">
        <v>38</v>
      </c>
      <c r="F193" s="139">
        <v>13080395</v>
      </c>
    </row>
    <row r="194" spans="1:6">
      <c r="A194" s="135">
        <v>6467</v>
      </c>
      <c r="B194" s="136" t="s">
        <v>35</v>
      </c>
      <c r="C194" s="136" t="s">
        <v>36</v>
      </c>
      <c r="D194" s="136" t="s">
        <v>37</v>
      </c>
      <c r="E194" s="136" t="s">
        <v>38</v>
      </c>
      <c r="F194" s="139">
        <v>13080395</v>
      </c>
    </row>
    <row r="195" spans="1:6">
      <c r="A195" s="135">
        <v>1279</v>
      </c>
      <c r="B195" s="136" t="s">
        <v>202</v>
      </c>
      <c r="C195" s="136" t="s">
        <v>203</v>
      </c>
      <c r="D195" s="136" t="s">
        <v>37</v>
      </c>
      <c r="E195" s="136" t="s">
        <v>38</v>
      </c>
      <c r="F195" s="139">
        <v>13044370</v>
      </c>
    </row>
    <row r="196" spans="1:6">
      <c r="A196" s="135">
        <v>4766</v>
      </c>
      <c r="B196" s="136" t="s">
        <v>468</v>
      </c>
      <c r="C196" s="136" t="s">
        <v>469</v>
      </c>
      <c r="D196" s="136" t="s">
        <v>37</v>
      </c>
      <c r="E196" s="136" t="s">
        <v>38</v>
      </c>
      <c r="F196" s="139">
        <v>13044502</v>
      </c>
    </row>
    <row r="197" spans="1:6">
      <c r="A197" s="135">
        <v>4561</v>
      </c>
      <c r="B197" s="136" t="s">
        <v>195</v>
      </c>
      <c r="C197" s="136" t="s">
        <v>196</v>
      </c>
      <c r="D197" s="136" t="s">
        <v>37</v>
      </c>
      <c r="E197" s="136" t="s">
        <v>38</v>
      </c>
      <c r="F197" s="139">
        <v>13033050</v>
      </c>
    </row>
    <row r="198" spans="1:6">
      <c r="A198" s="135">
        <v>1058</v>
      </c>
      <c r="B198" s="136" t="s">
        <v>200</v>
      </c>
      <c r="C198" s="136" t="s">
        <v>201</v>
      </c>
      <c r="D198" s="136" t="s">
        <v>37</v>
      </c>
      <c r="E198" s="136" t="s">
        <v>38</v>
      </c>
      <c r="F198" s="139">
        <v>13097670</v>
      </c>
    </row>
    <row r="199" spans="1:6">
      <c r="A199" s="135">
        <v>2062</v>
      </c>
      <c r="B199" s="136" t="s">
        <v>270</v>
      </c>
      <c r="C199" s="136" t="s">
        <v>271</v>
      </c>
      <c r="D199" s="136" t="s">
        <v>37</v>
      </c>
      <c r="E199" s="136" t="s">
        <v>38</v>
      </c>
      <c r="F199" s="139">
        <v>13094693</v>
      </c>
    </row>
    <row r="200" spans="1:6">
      <c r="A200" s="135">
        <v>6475</v>
      </c>
      <c r="B200" s="136" t="s">
        <v>262</v>
      </c>
      <c r="C200" s="136" t="s">
        <v>263</v>
      </c>
      <c r="D200" s="136" t="s">
        <v>264</v>
      </c>
      <c r="E200" s="136" t="s">
        <v>38</v>
      </c>
      <c r="F200" s="139">
        <v>6703000</v>
      </c>
    </row>
    <row r="201" spans="1:6">
      <c r="A201" s="135">
        <v>4740</v>
      </c>
      <c r="B201" s="136" t="s">
        <v>466</v>
      </c>
      <c r="C201" s="136" t="s">
        <v>467</v>
      </c>
      <c r="D201" s="136" t="s">
        <v>257</v>
      </c>
      <c r="E201" s="136" t="s">
        <v>38</v>
      </c>
      <c r="F201" s="139">
        <v>9913000</v>
      </c>
    </row>
    <row r="202" spans="1:6">
      <c r="A202" s="135">
        <v>1805</v>
      </c>
      <c r="B202" s="136" t="s">
        <v>255</v>
      </c>
      <c r="C202" s="136" t="s">
        <v>256</v>
      </c>
      <c r="D202" s="136" t="s">
        <v>257</v>
      </c>
      <c r="E202" s="136" t="s">
        <v>38</v>
      </c>
      <c r="F202" s="139">
        <v>99101550</v>
      </c>
    </row>
    <row r="203" spans="1:6">
      <c r="A203" s="135">
        <v>221</v>
      </c>
      <c r="B203" s="136" t="s">
        <v>167</v>
      </c>
      <c r="C203" s="136" t="s">
        <v>168</v>
      </c>
      <c r="D203" s="136" t="s">
        <v>169</v>
      </c>
      <c r="E203" s="136" t="s">
        <v>38</v>
      </c>
      <c r="F203" s="139">
        <v>15600000</v>
      </c>
    </row>
    <row r="204" spans="1:6">
      <c r="A204" s="135">
        <v>4219</v>
      </c>
      <c r="B204" s="136" t="s">
        <v>315</v>
      </c>
      <c r="C204" s="136" t="s">
        <v>316</v>
      </c>
      <c r="D204" s="136" t="s">
        <v>317</v>
      </c>
      <c r="E204" s="136" t="s">
        <v>38</v>
      </c>
      <c r="F204" s="139">
        <v>14406005</v>
      </c>
    </row>
    <row r="205" spans="1:6">
      <c r="A205" s="135">
        <v>4340</v>
      </c>
      <c r="B205" s="136" t="s">
        <v>485</v>
      </c>
      <c r="C205" s="136" t="s">
        <v>108</v>
      </c>
      <c r="D205" s="136" t="s">
        <v>317</v>
      </c>
      <c r="E205" s="136" t="s">
        <v>38</v>
      </c>
      <c r="F205" s="139">
        <v>14406005</v>
      </c>
    </row>
    <row r="206" spans="1:6">
      <c r="A206" s="135">
        <v>6483</v>
      </c>
      <c r="B206" s="136" t="s">
        <v>64</v>
      </c>
      <c r="C206" s="136" t="s">
        <v>65</v>
      </c>
      <c r="D206" s="136" t="s">
        <v>66</v>
      </c>
      <c r="E206" s="136" t="s">
        <v>38</v>
      </c>
      <c r="F206" s="139">
        <v>11435000</v>
      </c>
    </row>
    <row r="207" spans="1:6">
      <c r="A207" s="135">
        <v>4502</v>
      </c>
      <c r="B207" s="136" t="s">
        <v>498</v>
      </c>
      <c r="C207" s="136" t="s">
        <v>499</v>
      </c>
      <c r="D207" s="136" t="s">
        <v>66</v>
      </c>
      <c r="E207" s="136" t="s">
        <v>38</v>
      </c>
      <c r="F207" s="139">
        <v>11440002</v>
      </c>
    </row>
    <row r="208" spans="1:6">
      <c r="A208" s="135">
        <v>4405</v>
      </c>
      <c r="B208" s="136" t="s">
        <v>364</v>
      </c>
      <c r="C208" s="136" t="s">
        <v>365</v>
      </c>
      <c r="D208" s="136" t="s">
        <v>66</v>
      </c>
      <c r="E208" s="136" t="s">
        <v>38</v>
      </c>
      <c r="F208" s="139">
        <v>11440002</v>
      </c>
    </row>
    <row r="209" spans="1:6">
      <c r="A209" s="135">
        <v>5061</v>
      </c>
      <c r="B209" s="136" t="s">
        <v>301</v>
      </c>
      <c r="C209" s="136" t="s">
        <v>302</v>
      </c>
      <c r="D209" s="136" t="s">
        <v>66</v>
      </c>
      <c r="E209" s="136" t="s">
        <v>38</v>
      </c>
      <c r="F209" s="139">
        <v>11435040</v>
      </c>
    </row>
    <row r="210" spans="1:6">
      <c r="A210" s="135">
        <v>6165</v>
      </c>
      <c r="B210" s="136" t="s">
        <v>285</v>
      </c>
      <c r="C210" s="136" t="s">
        <v>286</v>
      </c>
      <c r="D210" s="136" t="s">
        <v>82</v>
      </c>
      <c r="E210" s="136" t="s">
        <v>38</v>
      </c>
      <c r="F210" s="139">
        <v>7140230</v>
      </c>
    </row>
    <row r="211" spans="1:6">
      <c r="A211" s="135">
        <v>3980</v>
      </c>
      <c r="B211" s="136" t="s">
        <v>80</v>
      </c>
      <c r="C211" s="136" t="s">
        <v>81</v>
      </c>
      <c r="D211" s="136" t="s">
        <v>82</v>
      </c>
      <c r="E211" s="136" t="s">
        <v>38</v>
      </c>
      <c r="F211" s="139">
        <v>7111070</v>
      </c>
    </row>
    <row r="212" spans="1:6">
      <c r="A212" s="135">
        <v>4774</v>
      </c>
      <c r="B212" s="136" t="s">
        <v>493</v>
      </c>
      <c r="C212" s="136" t="s">
        <v>494</v>
      </c>
      <c r="D212" s="136" t="s">
        <v>82</v>
      </c>
      <c r="E212" s="136" t="s">
        <v>38</v>
      </c>
      <c r="F212" s="139">
        <v>7124000</v>
      </c>
    </row>
    <row r="213" spans="1:6">
      <c r="A213" s="135">
        <v>1457</v>
      </c>
      <c r="B213" s="136" t="s">
        <v>352</v>
      </c>
      <c r="C213" s="136" t="s">
        <v>353</v>
      </c>
      <c r="D213" s="136" t="s">
        <v>82</v>
      </c>
      <c r="E213" s="136" t="s">
        <v>38</v>
      </c>
      <c r="F213" s="139">
        <v>7124000</v>
      </c>
    </row>
    <row r="214" spans="1:6">
      <c r="A214" s="135">
        <v>264</v>
      </c>
      <c r="B214" s="136" t="s">
        <v>172</v>
      </c>
      <c r="C214" s="136" t="s">
        <v>173</v>
      </c>
      <c r="D214" s="136" t="s">
        <v>174</v>
      </c>
      <c r="E214" s="136" t="s">
        <v>38</v>
      </c>
      <c r="F214" s="139">
        <v>13330000</v>
      </c>
    </row>
    <row r="215" spans="1:6">
      <c r="A215" s="135">
        <v>4286</v>
      </c>
      <c r="B215" s="136" t="s">
        <v>594</v>
      </c>
      <c r="C215" s="136" t="s">
        <v>595</v>
      </c>
      <c r="D215" s="136" t="s">
        <v>596</v>
      </c>
      <c r="E215" s="136" t="s">
        <v>38</v>
      </c>
      <c r="F215" s="139">
        <v>6882700</v>
      </c>
    </row>
    <row r="216" spans="1:6">
      <c r="A216" s="135">
        <v>6211</v>
      </c>
      <c r="B216" s="136" t="s">
        <v>605</v>
      </c>
      <c r="C216" s="136" t="s">
        <v>606</v>
      </c>
      <c r="D216" s="136" t="s">
        <v>607</v>
      </c>
      <c r="E216" s="136" t="s">
        <v>38</v>
      </c>
      <c r="F216" s="139">
        <v>6696000</v>
      </c>
    </row>
    <row r="217" spans="1:6">
      <c r="A217" s="135">
        <v>2550</v>
      </c>
      <c r="B217" s="136" t="s">
        <v>175</v>
      </c>
      <c r="C217" s="136" t="s">
        <v>176</v>
      </c>
      <c r="D217" s="136" t="s">
        <v>177</v>
      </c>
      <c r="E217" s="136" t="s">
        <v>38</v>
      </c>
      <c r="F217" s="139">
        <v>133000000</v>
      </c>
    </row>
    <row r="218" spans="1:6">
      <c r="A218" s="135">
        <v>4782</v>
      </c>
      <c r="B218" s="136" t="s">
        <v>505</v>
      </c>
      <c r="C218" s="136" t="s">
        <v>506</v>
      </c>
      <c r="D218" s="136" t="s">
        <v>177</v>
      </c>
      <c r="E218" s="136" t="s">
        <v>38</v>
      </c>
      <c r="F218" s="139">
        <v>13301000</v>
      </c>
    </row>
    <row r="219" spans="1:6">
      <c r="A219" s="135">
        <v>6548</v>
      </c>
      <c r="B219" s="136" t="s">
        <v>327</v>
      </c>
      <c r="C219" s="136" t="s">
        <v>110</v>
      </c>
      <c r="D219" s="136" t="s">
        <v>328</v>
      </c>
      <c r="E219" s="136" t="s">
        <v>38</v>
      </c>
      <c r="F219" s="139">
        <v>14870790</v>
      </c>
    </row>
    <row r="220" spans="1:6">
      <c r="A220" s="135">
        <v>6556</v>
      </c>
      <c r="B220" s="136" t="s">
        <v>329</v>
      </c>
      <c r="C220" s="136" t="s">
        <v>110</v>
      </c>
      <c r="D220" s="136" t="s">
        <v>328</v>
      </c>
      <c r="E220" s="136" t="s">
        <v>38</v>
      </c>
      <c r="F220" s="139">
        <v>14870370</v>
      </c>
    </row>
    <row r="221" spans="1:6">
      <c r="A221" s="135">
        <v>4707</v>
      </c>
      <c r="B221" s="136" t="s">
        <v>512</v>
      </c>
      <c r="C221" s="136" t="s">
        <v>513</v>
      </c>
      <c r="D221" s="136" t="s">
        <v>368</v>
      </c>
      <c r="E221" s="136" t="s">
        <v>38</v>
      </c>
      <c r="F221" s="139">
        <v>13206245</v>
      </c>
    </row>
    <row r="222" spans="1:6">
      <c r="A222" s="135">
        <v>1392</v>
      </c>
      <c r="B222" s="136" t="s">
        <v>366</v>
      </c>
      <c r="C222" s="136" t="s">
        <v>367</v>
      </c>
      <c r="D222" s="136" t="s">
        <v>368</v>
      </c>
      <c r="E222" s="136" t="s">
        <v>38</v>
      </c>
      <c r="F222" s="139">
        <v>13029610</v>
      </c>
    </row>
    <row r="223" spans="1:6">
      <c r="A223" s="135">
        <v>5096</v>
      </c>
      <c r="B223" s="136" t="s">
        <v>307</v>
      </c>
      <c r="C223" s="136" t="s">
        <v>308</v>
      </c>
      <c r="D223" s="136" t="s">
        <v>309</v>
      </c>
      <c r="E223" s="136" t="s">
        <v>38</v>
      </c>
      <c r="F223" s="139">
        <v>13485342</v>
      </c>
    </row>
    <row r="224" spans="1:6">
      <c r="A224" s="135">
        <v>6521</v>
      </c>
      <c r="B224" s="136" t="s">
        <v>332</v>
      </c>
      <c r="C224" s="136" t="s">
        <v>110</v>
      </c>
      <c r="D224" s="136" t="s">
        <v>333</v>
      </c>
      <c r="E224" s="136" t="s">
        <v>38</v>
      </c>
      <c r="F224" s="139">
        <v>15990200</v>
      </c>
    </row>
    <row r="225" spans="1:6">
      <c r="A225" s="135">
        <v>272</v>
      </c>
      <c r="B225" s="136" t="s">
        <v>179</v>
      </c>
      <c r="C225" s="136" t="s">
        <v>180</v>
      </c>
      <c r="D225" s="136" t="s">
        <v>181</v>
      </c>
      <c r="E225" s="136" t="s">
        <v>38</v>
      </c>
      <c r="F225" s="139">
        <v>13800000</v>
      </c>
    </row>
    <row r="226" spans="1:6">
      <c r="A226" s="135">
        <v>6530</v>
      </c>
      <c r="B226" s="136" t="s">
        <v>330</v>
      </c>
      <c r="C226" s="136" t="s">
        <v>110</v>
      </c>
      <c r="D226" s="136" t="s">
        <v>331</v>
      </c>
      <c r="E226" s="136" t="s">
        <v>38</v>
      </c>
      <c r="F226" s="139">
        <v>15910000</v>
      </c>
    </row>
    <row r="227" spans="1:6">
      <c r="A227" s="135">
        <v>1678</v>
      </c>
      <c r="B227" s="136" t="s">
        <v>133</v>
      </c>
      <c r="C227" s="136" t="s">
        <v>134</v>
      </c>
      <c r="D227" s="136" t="s">
        <v>135</v>
      </c>
      <c r="E227" s="136" t="s">
        <v>38</v>
      </c>
      <c r="F227" s="139">
        <v>6278000</v>
      </c>
    </row>
    <row r="228" spans="1:6">
      <c r="A228" s="135">
        <v>4901</v>
      </c>
      <c r="B228" s="136" t="s">
        <v>162</v>
      </c>
      <c r="C228" s="136" t="s">
        <v>163</v>
      </c>
      <c r="D228" s="136" t="s">
        <v>135</v>
      </c>
      <c r="E228" s="136" t="s">
        <v>38</v>
      </c>
      <c r="F228" s="139">
        <v>6278010</v>
      </c>
    </row>
    <row r="229" spans="1:6">
      <c r="A229" s="135">
        <v>3611</v>
      </c>
      <c r="B229" s="136" t="s">
        <v>704</v>
      </c>
      <c r="C229" s="136" t="s">
        <v>705</v>
      </c>
      <c r="D229" s="136" t="s">
        <v>135</v>
      </c>
      <c r="E229" s="136" t="s">
        <v>38</v>
      </c>
      <c r="F229" s="139">
        <v>6278000</v>
      </c>
    </row>
    <row r="230" spans="1:6">
      <c r="A230" s="135">
        <v>1430</v>
      </c>
      <c r="B230" s="136" t="s">
        <v>428</v>
      </c>
      <c r="C230" s="136" t="s">
        <v>429</v>
      </c>
      <c r="D230" s="136" t="s">
        <v>135</v>
      </c>
      <c r="E230" s="136" t="s">
        <v>38</v>
      </c>
      <c r="F230" s="139">
        <v>6020015</v>
      </c>
    </row>
    <row r="231" spans="1:6">
      <c r="A231" s="135">
        <v>4715</v>
      </c>
      <c r="B231" s="136" t="s">
        <v>540</v>
      </c>
      <c r="C231" s="136" t="s">
        <v>429</v>
      </c>
      <c r="D231" s="136" t="s">
        <v>135</v>
      </c>
      <c r="E231" s="136" t="s">
        <v>38</v>
      </c>
      <c r="F231" s="139">
        <v>6020010</v>
      </c>
    </row>
    <row r="232" spans="1:6">
      <c r="A232" s="135">
        <v>1341</v>
      </c>
      <c r="B232" s="136" t="s">
        <v>599</v>
      </c>
      <c r="C232" s="136" t="s">
        <v>429</v>
      </c>
      <c r="D232" s="136" t="s">
        <v>135</v>
      </c>
      <c r="E232" s="136" t="s">
        <v>38</v>
      </c>
      <c r="F232" s="139">
        <v>6020015</v>
      </c>
    </row>
    <row r="233" spans="1:6">
      <c r="A233" s="135">
        <v>1554</v>
      </c>
      <c r="B233" s="136" t="s">
        <v>149</v>
      </c>
      <c r="C233" s="136" t="s">
        <v>150</v>
      </c>
      <c r="D233" s="136" t="s">
        <v>135</v>
      </c>
      <c r="E233" s="136" t="s">
        <v>38</v>
      </c>
      <c r="F233" s="139">
        <v>6020015</v>
      </c>
    </row>
    <row r="234" spans="1:6">
      <c r="A234" s="135">
        <v>1643</v>
      </c>
      <c r="B234" s="136" t="s">
        <v>500</v>
      </c>
      <c r="C234" s="136" t="s">
        <v>501</v>
      </c>
      <c r="D234" s="136" t="s">
        <v>502</v>
      </c>
      <c r="E234" s="136" t="s">
        <v>38</v>
      </c>
      <c r="F234" s="139">
        <v>13403130</v>
      </c>
    </row>
    <row r="235" spans="1:6">
      <c r="A235" s="135">
        <v>4790</v>
      </c>
      <c r="B235" s="136" t="s">
        <v>545</v>
      </c>
      <c r="C235" s="136" t="s">
        <v>546</v>
      </c>
      <c r="D235" s="136" t="s">
        <v>502</v>
      </c>
      <c r="E235" s="136" t="s">
        <v>38</v>
      </c>
      <c r="F235" s="139">
        <v>13403834</v>
      </c>
    </row>
    <row r="236" spans="1:6">
      <c r="A236" s="135">
        <v>4855</v>
      </c>
      <c r="B236" s="136" t="s">
        <v>197</v>
      </c>
      <c r="C236" s="136" t="s">
        <v>198</v>
      </c>
      <c r="D236" s="136" t="s">
        <v>199</v>
      </c>
      <c r="E236" s="136" t="s">
        <v>38</v>
      </c>
      <c r="F236" s="139">
        <v>11701750</v>
      </c>
    </row>
    <row r="237" spans="1:6">
      <c r="A237" s="135">
        <v>2070</v>
      </c>
      <c r="B237" s="136" t="s">
        <v>274</v>
      </c>
      <c r="C237" s="136" t="s">
        <v>275</v>
      </c>
      <c r="D237" s="136" t="s">
        <v>209</v>
      </c>
      <c r="E237" s="136" t="s">
        <v>38</v>
      </c>
      <c r="F237" s="139">
        <v>19060000</v>
      </c>
    </row>
    <row r="238" spans="1:6">
      <c r="A238" s="135">
        <v>78</v>
      </c>
      <c r="B238" s="136" t="s">
        <v>207</v>
      </c>
      <c r="C238" s="136" t="s">
        <v>208</v>
      </c>
      <c r="D238" s="136" t="s">
        <v>209</v>
      </c>
      <c r="E238" s="136" t="s">
        <v>38</v>
      </c>
      <c r="F238" s="139">
        <v>19013030</v>
      </c>
    </row>
    <row r="239" spans="1:6">
      <c r="A239" s="135">
        <v>6580</v>
      </c>
      <c r="B239" s="136" t="s">
        <v>347</v>
      </c>
      <c r="C239" s="136" t="s">
        <v>348</v>
      </c>
      <c r="D239" s="136" t="s">
        <v>205</v>
      </c>
      <c r="E239" s="136" t="s">
        <v>38</v>
      </c>
      <c r="F239" s="139">
        <v>14085430</v>
      </c>
    </row>
    <row r="240" spans="1:6">
      <c r="A240" s="135">
        <v>4626</v>
      </c>
      <c r="B240" s="136" t="s">
        <v>204</v>
      </c>
      <c r="C240" s="136" t="s">
        <v>110</v>
      </c>
      <c r="D240" s="136" t="s">
        <v>205</v>
      </c>
      <c r="E240" s="136" t="s">
        <v>38</v>
      </c>
      <c r="F240" s="139">
        <v>14015120</v>
      </c>
    </row>
    <row r="241" spans="1:6">
      <c r="A241" s="135">
        <v>6564</v>
      </c>
      <c r="B241" s="136" t="s">
        <v>349</v>
      </c>
      <c r="C241" s="136" t="s">
        <v>97</v>
      </c>
      <c r="D241" s="136" t="s">
        <v>205</v>
      </c>
      <c r="E241" s="136" t="s">
        <v>38</v>
      </c>
      <c r="F241" s="139">
        <v>14055660</v>
      </c>
    </row>
    <row r="242" spans="1:6">
      <c r="A242" s="135">
        <v>4723</v>
      </c>
      <c r="B242" s="136" t="s">
        <v>553</v>
      </c>
      <c r="C242" s="136" t="s">
        <v>97</v>
      </c>
      <c r="D242" s="136" t="s">
        <v>205</v>
      </c>
      <c r="E242" s="136" t="s">
        <v>38</v>
      </c>
      <c r="F242" s="139">
        <v>14055510</v>
      </c>
    </row>
    <row r="243" spans="1:6">
      <c r="A243" s="135">
        <v>3514</v>
      </c>
      <c r="B243" s="136" t="s">
        <v>690</v>
      </c>
      <c r="C243" s="136" t="s">
        <v>97</v>
      </c>
      <c r="D243" s="136" t="s">
        <v>205</v>
      </c>
      <c r="E243" s="136" t="s">
        <v>38</v>
      </c>
      <c r="F243" s="139">
        <v>14055510</v>
      </c>
    </row>
    <row r="244" spans="1:6">
      <c r="A244" s="135">
        <v>1171</v>
      </c>
      <c r="B244" s="136" t="s">
        <v>693</v>
      </c>
      <c r="C244" s="136" t="s">
        <v>694</v>
      </c>
      <c r="D244" s="136" t="s">
        <v>205</v>
      </c>
      <c r="E244" s="136" t="s">
        <v>38</v>
      </c>
      <c r="F244" s="139">
        <v>14026900</v>
      </c>
    </row>
    <row r="245" spans="1:6">
      <c r="A245" s="135">
        <v>6599</v>
      </c>
      <c r="B245" s="136" t="s">
        <v>350</v>
      </c>
      <c r="C245" s="136" t="s">
        <v>351</v>
      </c>
      <c r="D245" s="136" t="s">
        <v>205</v>
      </c>
      <c r="E245" s="136" t="s">
        <v>38</v>
      </c>
      <c r="F245" s="139">
        <v>14020750</v>
      </c>
    </row>
    <row r="246" spans="1:6">
      <c r="A246" s="135">
        <v>6602</v>
      </c>
      <c r="B246" s="136" t="s">
        <v>345</v>
      </c>
      <c r="C246" s="136" t="s">
        <v>346</v>
      </c>
      <c r="D246" s="136" t="s">
        <v>205</v>
      </c>
      <c r="E246" s="136" t="s">
        <v>38</v>
      </c>
      <c r="F246" s="139">
        <v>14030000</v>
      </c>
    </row>
    <row r="247" spans="1:6">
      <c r="A247" s="135">
        <v>6068</v>
      </c>
      <c r="B247" s="136" t="s">
        <v>631</v>
      </c>
      <c r="C247" s="136" t="s">
        <v>632</v>
      </c>
      <c r="D247" s="136" t="s">
        <v>460</v>
      </c>
      <c r="E247" s="136" t="s">
        <v>38</v>
      </c>
      <c r="F247" s="139">
        <v>9751000</v>
      </c>
    </row>
    <row r="248" spans="1:6">
      <c r="A248" s="135">
        <v>3778</v>
      </c>
      <c r="B248" s="136" t="s">
        <v>458</v>
      </c>
      <c r="C248" s="136" t="s">
        <v>459</v>
      </c>
      <c r="D248" s="136" t="s">
        <v>460</v>
      </c>
      <c r="E248" s="136" t="s">
        <v>38</v>
      </c>
      <c r="F248" s="139">
        <v>9617090</v>
      </c>
    </row>
    <row r="249" spans="1:6">
      <c r="A249" s="135">
        <v>5070</v>
      </c>
      <c r="B249" s="136" t="s">
        <v>321</v>
      </c>
      <c r="C249" s="136" t="s">
        <v>322</v>
      </c>
      <c r="D249" s="136" t="s">
        <v>323</v>
      </c>
      <c r="E249" s="136" t="s">
        <v>38</v>
      </c>
      <c r="F249" s="139">
        <v>15014150</v>
      </c>
    </row>
    <row r="250" spans="1:6">
      <c r="A250" s="135">
        <v>3298</v>
      </c>
      <c r="B250" s="136" t="s">
        <v>228</v>
      </c>
      <c r="C250" s="136" t="s">
        <v>229</v>
      </c>
      <c r="D250" s="136" t="s">
        <v>230</v>
      </c>
      <c r="E250" s="136" t="s">
        <v>38</v>
      </c>
      <c r="F250" s="139">
        <v>13322060</v>
      </c>
    </row>
    <row r="251" spans="1:6">
      <c r="A251" s="135">
        <v>4847</v>
      </c>
      <c r="B251" s="136" t="s">
        <v>581</v>
      </c>
      <c r="C251" s="136" t="s">
        <v>229</v>
      </c>
      <c r="D251" s="136" t="s">
        <v>230</v>
      </c>
      <c r="E251" s="136" t="s">
        <v>38</v>
      </c>
      <c r="F251" s="139">
        <v>13322060</v>
      </c>
    </row>
    <row r="252" spans="1:6">
      <c r="A252" s="135">
        <v>3530</v>
      </c>
      <c r="B252" s="136" t="s">
        <v>215</v>
      </c>
      <c r="C252" s="136" t="s">
        <v>216</v>
      </c>
      <c r="D252" s="136" t="s">
        <v>217</v>
      </c>
      <c r="E252" s="136" t="s">
        <v>38</v>
      </c>
      <c r="F252" s="139">
        <v>6541038</v>
      </c>
    </row>
    <row r="253" spans="1:6">
      <c r="A253" s="135">
        <v>5045</v>
      </c>
      <c r="B253" s="136" t="s">
        <v>318</v>
      </c>
      <c r="C253" s="136" t="s">
        <v>110</v>
      </c>
      <c r="D253" s="136" t="s">
        <v>104</v>
      </c>
      <c r="E253" s="136" t="s">
        <v>38</v>
      </c>
      <c r="F253" s="139">
        <v>9015310</v>
      </c>
    </row>
    <row r="254" spans="1:6">
      <c r="A254" s="135">
        <v>1244</v>
      </c>
      <c r="B254" s="136" t="s">
        <v>749</v>
      </c>
      <c r="C254" s="136" t="s">
        <v>750</v>
      </c>
      <c r="D254" s="136" t="s">
        <v>104</v>
      </c>
      <c r="E254" s="136" t="s">
        <v>38</v>
      </c>
      <c r="F254" s="139">
        <v>9110560</v>
      </c>
    </row>
    <row r="255" spans="1:6">
      <c r="A255" s="135">
        <v>3930</v>
      </c>
      <c r="B255" s="136" t="s">
        <v>102</v>
      </c>
      <c r="C255" s="136" t="s">
        <v>103</v>
      </c>
      <c r="D255" s="136" t="s">
        <v>104</v>
      </c>
      <c r="E255" s="136" t="s">
        <v>38</v>
      </c>
      <c r="F255" s="139">
        <v>9190210</v>
      </c>
    </row>
    <row r="256" spans="1:6">
      <c r="A256" s="135">
        <v>3352</v>
      </c>
      <c r="B256" s="136" t="s">
        <v>751</v>
      </c>
      <c r="C256" s="136" t="s">
        <v>752</v>
      </c>
      <c r="D256" s="136" t="s">
        <v>104</v>
      </c>
      <c r="E256" s="136" t="s">
        <v>38</v>
      </c>
      <c r="F256" s="139">
        <v>9280570</v>
      </c>
    </row>
    <row r="257" spans="1:6">
      <c r="A257" s="135">
        <v>4812</v>
      </c>
      <c r="B257" s="136" t="s">
        <v>573</v>
      </c>
      <c r="C257" s="136" t="s">
        <v>574</v>
      </c>
      <c r="D257" s="136" t="s">
        <v>104</v>
      </c>
      <c r="E257" s="136" t="s">
        <v>38</v>
      </c>
      <c r="F257" s="139">
        <v>9280550</v>
      </c>
    </row>
    <row r="258" spans="1:6">
      <c r="A258" s="135">
        <v>4804</v>
      </c>
      <c r="B258" s="136" t="s">
        <v>560</v>
      </c>
      <c r="C258" s="136" t="s">
        <v>561</v>
      </c>
      <c r="D258" s="136" t="s">
        <v>104</v>
      </c>
      <c r="E258" s="136" t="s">
        <v>38</v>
      </c>
      <c r="F258" s="139">
        <v>9110560</v>
      </c>
    </row>
    <row r="259" spans="1:6">
      <c r="A259" s="135">
        <v>3948</v>
      </c>
      <c r="B259" s="136" t="s">
        <v>111</v>
      </c>
      <c r="C259" s="136" t="s">
        <v>112</v>
      </c>
      <c r="D259" s="136" t="s">
        <v>113</v>
      </c>
      <c r="E259" s="136" t="s">
        <v>38</v>
      </c>
      <c r="F259" s="139">
        <v>11025200</v>
      </c>
    </row>
    <row r="260" spans="1:6">
      <c r="A260" s="135">
        <v>2011</v>
      </c>
      <c r="B260" s="136" t="s">
        <v>278</v>
      </c>
      <c r="C260" s="136" t="s">
        <v>279</v>
      </c>
      <c r="D260" s="136" t="s">
        <v>113</v>
      </c>
      <c r="E260" s="136" t="s">
        <v>38</v>
      </c>
      <c r="F260" s="139">
        <v>11045002</v>
      </c>
    </row>
    <row r="261" spans="1:6">
      <c r="A261" s="135">
        <v>1880</v>
      </c>
      <c r="B261" s="136" t="s">
        <v>218</v>
      </c>
      <c r="C261" s="136" t="s">
        <v>110</v>
      </c>
      <c r="D261" s="136" t="s">
        <v>219</v>
      </c>
      <c r="E261" s="136" t="s">
        <v>38</v>
      </c>
      <c r="F261" s="139">
        <v>9770140</v>
      </c>
    </row>
    <row r="262" spans="1:6">
      <c r="A262" s="135">
        <v>4227</v>
      </c>
      <c r="B262" s="136" t="s">
        <v>712</v>
      </c>
      <c r="C262" s="136" t="s">
        <v>441</v>
      </c>
      <c r="D262" s="136" t="s">
        <v>219</v>
      </c>
      <c r="E262" s="136" t="s">
        <v>38</v>
      </c>
      <c r="F262" s="139">
        <v>9820000</v>
      </c>
    </row>
    <row r="263" spans="1:6">
      <c r="A263" s="135">
        <v>1422</v>
      </c>
      <c r="B263" s="136" t="s">
        <v>710</v>
      </c>
      <c r="C263" s="136" t="s">
        <v>711</v>
      </c>
      <c r="D263" s="136" t="s">
        <v>219</v>
      </c>
      <c r="E263" s="136" t="s">
        <v>38</v>
      </c>
      <c r="F263" s="139">
        <v>9750001</v>
      </c>
    </row>
    <row r="264" spans="1:6">
      <c r="A264" s="135">
        <v>4448</v>
      </c>
      <c r="B264" s="136" t="s">
        <v>440</v>
      </c>
      <c r="C264" s="136" t="s">
        <v>441</v>
      </c>
      <c r="D264" s="136" t="s">
        <v>73</v>
      </c>
      <c r="E264" s="136" t="s">
        <v>38</v>
      </c>
      <c r="F264" s="139">
        <v>9820000</v>
      </c>
    </row>
    <row r="265" spans="1:6">
      <c r="A265" s="135">
        <v>6378</v>
      </c>
      <c r="B265" s="136" t="s">
        <v>71</v>
      </c>
      <c r="C265" s="136" t="s">
        <v>72</v>
      </c>
      <c r="D265" s="136" t="s">
        <v>73</v>
      </c>
      <c r="E265" s="136" t="s">
        <v>38</v>
      </c>
      <c r="F265" s="139">
        <v>9891001</v>
      </c>
    </row>
    <row r="266" spans="1:6">
      <c r="A266" s="135">
        <v>4456</v>
      </c>
      <c r="B266" s="136" t="s">
        <v>444</v>
      </c>
      <c r="C266" s="136" t="s">
        <v>445</v>
      </c>
      <c r="D266" s="136" t="s">
        <v>73</v>
      </c>
      <c r="E266" s="136" t="s">
        <v>38</v>
      </c>
      <c r="F266" s="139">
        <v>9655000</v>
      </c>
    </row>
    <row r="267" spans="1:6">
      <c r="A267" s="135">
        <v>4278</v>
      </c>
      <c r="B267" s="136" t="s">
        <v>714</v>
      </c>
      <c r="C267" s="136" t="s">
        <v>445</v>
      </c>
      <c r="D267" s="136" t="s">
        <v>73</v>
      </c>
      <c r="E267" s="136" t="s">
        <v>38</v>
      </c>
      <c r="F267" s="139">
        <v>9655000</v>
      </c>
    </row>
    <row r="268" spans="1:6">
      <c r="A268" s="135">
        <v>6092</v>
      </c>
      <c r="B268" s="136" t="s">
        <v>634</v>
      </c>
      <c r="C268" s="136" t="s">
        <v>635</v>
      </c>
      <c r="D268" s="136" t="s">
        <v>564</v>
      </c>
      <c r="E268" s="136" t="s">
        <v>38</v>
      </c>
      <c r="F268" s="139">
        <v>9572300</v>
      </c>
    </row>
    <row r="269" spans="1:6">
      <c r="A269" s="135">
        <v>4820</v>
      </c>
      <c r="B269" s="136" t="s">
        <v>562</v>
      </c>
      <c r="C269" s="136" t="s">
        <v>563</v>
      </c>
      <c r="D269" s="136" t="s">
        <v>564</v>
      </c>
      <c r="E269" s="136" t="s">
        <v>38</v>
      </c>
      <c r="F269" s="139">
        <v>9520180</v>
      </c>
    </row>
    <row r="270" spans="1:6">
      <c r="A270" s="135">
        <v>1333</v>
      </c>
      <c r="B270" s="136" t="s">
        <v>715</v>
      </c>
      <c r="C270" s="136" t="s">
        <v>563</v>
      </c>
      <c r="D270" s="136" t="s">
        <v>564</v>
      </c>
      <c r="E270" s="136" t="s">
        <v>38</v>
      </c>
      <c r="F270" s="139">
        <v>9520180</v>
      </c>
    </row>
    <row r="271" spans="1:6">
      <c r="A271" s="135">
        <v>6505</v>
      </c>
      <c r="B271" s="136" t="s">
        <v>362</v>
      </c>
      <c r="C271" s="136" t="s">
        <v>363</v>
      </c>
      <c r="D271" s="136" t="s">
        <v>359</v>
      </c>
      <c r="E271" s="136" t="s">
        <v>38</v>
      </c>
      <c r="F271" s="139">
        <v>13562420</v>
      </c>
    </row>
    <row r="272" spans="1:6">
      <c r="A272" s="135">
        <v>6513</v>
      </c>
      <c r="B272" s="136" t="s">
        <v>357</v>
      </c>
      <c r="C272" s="136" t="s">
        <v>358</v>
      </c>
      <c r="D272" s="136" t="s">
        <v>359</v>
      </c>
      <c r="E272" s="136" t="s">
        <v>38</v>
      </c>
      <c r="F272" s="139">
        <v>13566330</v>
      </c>
    </row>
    <row r="273" spans="1:6">
      <c r="A273" s="135">
        <v>4731</v>
      </c>
      <c r="B273" s="136" t="s">
        <v>575</v>
      </c>
      <c r="C273" s="136" t="s">
        <v>576</v>
      </c>
      <c r="D273" s="136" t="s">
        <v>577</v>
      </c>
      <c r="E273" s="136" t="s">
        <v>38</v>
      </c>
      <c r="F273" s="139">
        <v>15076630</v>
      </c>
    </row>
    <row r="274" spans="1:6">
      <c r="A274" s="135">
        <v>4758</v>
      </c>
      <c r="B274" s="136" t="s">
        <v>509</v>
      </c>
      <c r="C274" s="136" t="s">
        <v>510</v>
      </c>
      <c r="D274" s="136" t="s">
        <v>511</v>
      </c>
      <c r="E274" s="136" t="s">
        <v>38</v>
      </c>
      <c r="F274" s="139">
        <v>12246840</v>
      </c>
    </row>
    <row r="275" spans="1:6">
      <c r="A275" s="135">
        <v>1295</v>
      </c>
      <c r="B275" s="136" t="s">
        <v>717</v>
      </c>
      <c r="C275" s="136" t="s">
        <v>718</v>
      </c>
      <c r="D275" s="136" t="s">
        <v>511</v>
      </c>
      <c r="E275" s="136" t="s">
        <v>38</v>
      </c>
      <c r="F275" s="139">
        <v>12240420</v>
      </c>
    </row>
    <row r="276" spans="1:6">
      <c r="A276" s="135">
        <v>4154</v>
      </c>
      <c r="B276" s="136" t="s">
        <v>567</v>
      </c>
      <c r="C276" s="136" t="s">
        <v>568</v>
      </c>
      <c r="D276" s="136" t="s">
        <v>511</v>
      </c>
      <c r="E276" s="136" t="s">
        <v>38</v>
      </c>
      <c r="F276" s="139">
        <v>12220000</v>
      </c>
    </row>
    <row r="277" spans="1:6">
      <c r="A277" s="135">
        <v>4103</v>
      </c>
      <c r="B277" s="136" t="s">
        <v>720</v>
      </c>
      <c r="C277" s="136" t="s">
        <v>568</v>
      </c>
      <c r="D277" s="136" t="s">
        <v>511</v>
      </c>
      <c r="E277" s="136" t="s">
        <v>38</v>
      </c>
      <c r="F277" s="139">
        <v>12220000</v>
      </c>
    </row>
    <row r="278" spans="1:6">
      <c r="A278" s="135">
        <v>1368</v>
      </c>
      <c r="B278" s="136" t="s">
        <v>719</v>
      </c>
      <c r="C278" s="136" t="s">
        <v>576</v>
      </c>
      <c r="D278" s="136" t="s">
        <v>227</v>
      </c>
      <c r="E278" s="136" t="s">
        <v>38</v>
      </c>
      <c r="F278" s="139">
        <v>15076630</v>
      </c>
    </row>
    <row r="279" spans="1:6">
      <c r="A279" s="135">
        <v>51</v>
      </c>
      <c r="B279" s="136" t="s">
        <v>225</v>
      </c>
      <c r="C279" s="136" t="s">
        <v>226</v>
      </c>
      <c r="D279" s="136" t="s">
        <v>227</v>
      </c>
      <c r="E279" s="136" t="s">
        <v>38</v>
      </c>
      <c r="F279" s="139">
        <v>150900001</v>
      </c>
    </row>
    <row r="280" spans="1:6">
      <c r="A280" s="135">
        <v>6920</v>
      </c>
      <c r="B280" s="136" t="s">
        <v>436</v>
      </c>
      <c r="C280" s="136" t="s">
        <v>437</v>
      </c>
      <c r="D280" s="136" t="s">
        <v>45</v>
      </c>
      <c r="E280" s="136" t="s">
        <v>38</v>
      </c>
      <c r="F280" s="139">
        <v>3101000</v>
      </c>
    </row>
    <row r="281" spans="1:6">
      <c r="A281" s="135">
        <v>6122</v>
      </c>
      <c r="B281" s="136" t="s">
        <v>617</v>
      </c>
      <c r="C281" s="136" t="s">
        <v>437</v>
      </c>
      <c r="D281" s="136" t="s">
        <v>45</v>
      </c>
      <c r="E281" s="136" t="s">
        <v>38</v>
      </c>
      <c r="F281" s="139">
        <v>3101000</v>
      </c>
    </row>
    <row r="282" spans="1:6">
      <c r="A282" s="135">
        <v>4944</v>
      </c>
      <c r="B282" s="136" t="s">
        <v>220</v>
      </c>
      <c r="C282" s="136" t="s">
        <v>221</v>
      </c>
      <c r="D282" s="136" t="s">
        <v>45</v>
      </c>
      <c r="E282" s="136" t="s">
        <v>38</v>
      </c>
      <c r="F282" s="139">
        <v>4555002</v>
      </c>
    </row>
    <row r="283" spans="1:6">
      <c r="A283" s="135">
        <v>4146</v>
      </c>
      <c r="B283" s="136" t="s">
        <v>449</v>
      </c>
      <c r="C283" s="136" t="s">
        <v>450</v>
      </c>
      <c r="D283" s="136" t="s">
        <v>45</v>
      </c>
      <c r="E283" s="136" t="s">
        <v>38</v>
      </c>
      <c r="F283" s="139">
        <v>5512300</v>
      </c>
    </row>
    <row r="284" spans="1:6">
      <c r="A284" s="135">
        <v>3654</v>
      </c>
      <c r="B284" s="136" t="s">
        <v>447</v>
      </c>
      <c r="C284" s="136" t="s">
        <v>448</v>
      </c>
      <c r="D284" s="136" t="s">
        <v>45</v>
      </c>
      <c r="E284" s="136" t="s">
        <v>38</v>
      </c>
      <c r="F284" s="139">
        <v>1515000</v>
      </c>
    </row>
    <row r="285" spans="1:6">
      <c r="A285" s="135">
        <v>3387</v>
      </c>
      <c r="B285" s="136" t="s">
        <v>729</v>
      </c>
      <c r="C285" s="136" t="s">
        <v>448</v>
      </c>
      <c r="D285" s="136" t="s">
        <v>45</v>
      </c>
      <c r="E285" s="136" t="s">
        <v>38</v>
      </c>
      <c r="F285" s="139">
        <v>1515000</v>
      </c>
    </row>
    <row r="286" spans="1:6">
      <c r="A286" s="135">
        <v>1163</v>
      </c>
      <c r="B286" s="136" t="s">
        <v>735</v>
      </c>
      <c r="C286" s="136" t="s">
        <v>132</v>
      </c>
      <c r="D286" s="136" t="s">
        <v>45</v>
      </c>
      <c r="E286" s="136" t="s">
        <v>38</v>
      </c>
      <c r="F286" s="139">
        <v>4661902</v>
      </c>
    </row>
    <row r="287" spans="1:6">
      <c r="A287" s="135">
        <v>3964</v>
      </c>
      <c r="B287" s="136" t="s">
        <v>78</v>
      </c>
      <c r="C287" s="136" t="s">
        <v>79</v>
      </c>
      <c r="D287" s="136" t="s">
        <v>45</v>
      </c>
      <c r="E287" s="136" t="s">
        <v>38</v>
      </c>
      <c r="F287" s="139">
        <v>2513000</v>
      </c>
    </row>
    <row r="288" spans="1:6">
      <c r="A288" s="135">
        <v>6033</v>
      </c>
      <c r="B288" s="136" t="s">
        <v>620</v>
      </c>
      <c r="C288" s="136" t="s">
        <v>79</v>
      </c>
      <c r="D288" s="136" t="s">
        <v>45</v>
      </c>
      <c r="E288" s="136" t="s">
        <v>38</v>
      </c>
      <c r="F288" s="139">
        <v>2475000</v>
      </c>
    </row>
    <row r="289" spans="1:6">
      <c r="A289" s="135">
        <v>1325</v>
      </c>
      <c r="B289" s="136" t="s">
        <v>727</v>
      </c>
      <c r="C289" s="136" t="s">
        <v>728</v>
      </c>
      <c r="D289" s="136" t="s">
        <v>45</v>
      </c>
      <c r="E289" s="136" t="s">
        <v>38</v>
      </c>
      <c r="F289" s="139">
        <v>5512300</v>
      </c>
    </row>
    <row r="290" spans="1:6">
      <c r="A290" s="135">
        <v>2526</v>
      </c>
      <c r="B290" s="136" t="s">
        <v>191</v>
      </c>
      <c r="C290" s="136" t="s">
        <v>192</v>
      </c>
      <c r="D290" s="136" t="s">
        <v>45</v>
      </c>
      <c r="E290" s="136" t="s">
        <v>38</v>
      </c>
      <c r="F290" s="139">
        <v>4777000</v>
      </c>
    </row>
    <row r="291" spans="1:6">
      <c r="A291" s="135">
        <v>2704</v>
      </c>
      <c r="B291" s="136" t="s">
        <v>128</v>
      </c>
      <c r="C291" s="136" t="s">
        <v>129</v>
      </c>
      <c r="D291" s="136" t="s">
        <v>45</v>
      </c>
      <c r="E291" s="136" t="s">
        <v>38</v>
      </c>
      <c r="F291" s="139">
        <v>4719050</v>
      </c>
    </row>
    <row r="292" spans="1:6">
      <c r="A292" s="135">
        <v>6130</v>
      </c>
      <c r="B292" s="136" t="s">
        <v>624</v>
      </c>
      <c r="C292" s="136" t="s">
        <v>625</v>
      </c>
      <c r="D292" s="136" t="s">
        <v>45</v>
      </c>
      <c r="E292" s="136" t="s">
        <v>38</v>
      </c>
      <c r="F292" s="139">
        <v>4661100</v>
      </c>
    </row>
    <row r="293" spans="1:6">
      <c r="A293" s="135">
        <v>6025</v>
      </c>
      <c r="B293" s="136" t="s">
        <v>633</v>
      </c>
      <c r="C293" s="136" t="s">
        <v>625</v>
      </c>
      <c r="D293" s="136" t="s">
        <v>45</v>
      </c>
      <c r="E293" s="136" t="s">
        <v>38</v>
      </c>
      <c r="F293" s="139">
        <v>4772002</v>
      </c>
    </row>
    <row r="294" spans="1:6">
      <c r="A294" s="135">
        <v>3921</v>
      </c>
      <c r="B294" s="136" t="s">
        <v>96</v>
      </c>
      <c r="C294" s="136" t="s">
        <v>97</v>
      </c>
      <c r="D294" s="136" t="s">
        <v>45</v>
      </c>
      <c r="E294" s="136" t="s">
        <v>38</v>
      </c>
      <c r="F294" s="139">
        <v>4209000</v>
      </c>
    </row>
    <row r="295" spans="1:6">
      <c r="A295" s="135">
        <v>4570</v>
      </c>
      <c r="B295" s="136" t="s">
        <v>432</v>
      </c>
      <c r="C295" s="136" t="s">
        <v>97</v>
      </c>
      <c r="D295" s="136" t="s">
        <v>45</v>
      </c>
      <c r="E295" s="136" t="s">
        <v>38</v>
      </c>
      <c r="F295" s="139">
        <v>4246002</v>
      </c>
    </row>
    <row r="296" spans="1:6">
      <c r="A296" s="135">
        <v>6084</v>
      </c>
      <c r="B296" s="136" t="s">
        <v>623</v>
      </c>
      <c r="C296" s="136" t="s">
        <v>97</v>
      </c>
      <c r="D296" s="136" t="s">
        <v>45</v>
      </c>
      <c r="E296" s="136" t="s">
        <v>38</v>
      </c>
      <c r="F296" s="139">
        <v>4217000</v>
      </c>
    </row>
    <row r="297" spans="1:6">
      <c r="A297" s="135">
        <v>6408</v>
      </c>
      <c r="B297" s="136" t="s">
        <v>43</v>
      </c>
      <c r="C297" s="136" t="s">
        <v>44</v>
      </c>
      <c r="D297" s="136" t="s">
        <v>45</v>
      </c>
      <c r="E297" s="136" t="s">
        <v>38</v>
      </c>
      <c r="F297" s="139">
        <v>8260000</v>
      </c>
    </row>
    <row r="298" spans="1:6">
      <c r="A298" s="135">
        <v>5002</v>
      </c>
      <c r="B298" s="136" t="s">
        <v>303</v>
      </c>
      <c r="C298" s="136" t="s">
        <v>44</v>
      </c>
      <c r="D298" s="136" t="s">
        <v>45</v>
      </c>
      <c r="E298" s="136" t="s">
        <v>38</v>
      </c>
      <c r="F298" s="139">
        <v>8260005</v>
      </c>
    </row>
    <row r="299" spans="1:6">
      <c r="A299" s="135">
        <v>6076</v>
      </c>
      <c r="B299" s="136" t="s">
        <v>628</v>
      </c>
      <c r="C299" s="136" t="s">
        <v>629</v>
      </c>
      <c r="D299" s="136" t="s">
        <v>45</v>
      </c>
      <c r="E299" s="136" t="s">
        <v>38</v>
      </c>
      <c r="F299" s="139">
        <v>4729080</v>
      </c>
    </row>
    <row r="300" spans="1:6">
      <c r="A300" s="135">
        <v>6955</v>
      </c>
      <c r="B300" s="136" t="s">
        <v>507</v>
      </c>
      <c r="C300" s="136" t="s">
        <v>508</v>
      </c>
      <c r="D300" s="136" t="s">
        <v>45</v>
      </c>
      <c r="E300" s="136" t="s">
        <v>38</v>
      </c>
      <c r="F300" s="139">
        <v>4325000</v>
      </c>
    </row>
    <row r="301" spans="1:6">
      <c r="A301" s="135">
        <v>4596</v>
      </c>
      <c r="B301" s="136" t="s">
        <v>716</v>
      </c>
      <c r="C301" s="136" t="s">
        <v>508</v>
      </c>
      <c r="D301" s="136" t="s">
        <v>45</v>
      </c>
      <c r="E301" s="136" t="s">
        <v>38</v>
      </c>
      <c r="F301" s="139">
        <v>4345000</v>
      </c>
    </row>
    <row r="302" spans="1:6">
      <c r="A302" s="135">
        <v>6050</v>
      </c>
      <c r="B302" s="136" t="s">
        <v>626</v>
      </c>
      <c r="C302" s="136" t="s">
        <v>627</v>
      </c>
      <c r="D302" s="136" t="s">
        <v>45</v>
      </c>
      <c r="E302" s="136" t="s">
        <v>38</v>
      </c>
      <c r="F302" s="139">
        <v>2260001</v>
      </c>
    </row>
    <row r="303" spans="1:6">
      <c r="A303" s="135">
        <v>5010</v>
      </c>
      <c r="B303" s="136" t="s">
        <v>287</v>
      </c>
      <c r="C303" s="136" t="s">
        <v>288</v>
      </c>
      <c r="D303" s="136" t="s">
        <v>45</v>
      </c>
      <c r="E303" s="136" t="s">
        <v>38</v>
      </c>
      <c r="F303" s="139">
        <v>4905000</v>
      </c>
    </row>
    <row r="304" spans="1:6">
      <c r="A304" s="135">
        <v>6009</v>
      </c>
      <c r="B304" s="136" t="s">
        <v>58</v>
      </c>
      <c r="C304" s="136" t="s">
        <v>59</v>
      </c>
      <c r="D304" s="136" t="s">
        <v>45</v>
      </c>
      <c r="E304" s="136" t="s">
        <v>38</v>
      </c>
      <c r="F304" s="139">
        <v>4864002</v>
      </c>
    </row>
    <row r="305" spans="1:6">
      <c r="A305" s="135">
        <v>1228</v>
      </c>
      <c r="B305" s="136" t="s">
        <v>743</v>
      </c>
      <c r="C305" s="136" t="s">
        <v>744</v>
      </c>
      <c r="D305" s="136" t="s">
        <v>45</v>
      </c>
      <c r="E305" s="136" t="s">
        <v>38</v>
      </c>
      <c r="F305" s="139">
        <v>4150900</v>
      </c>
    </row>
    <row r="306" spans="1:6">
      <c r="A306" s="135">
        <v>4529</v>
      </c>
      <c r="B306" s="136" t="s">
        <v>434</v>
      </c>
      <c r="C306" s="136" t="s">
        <v>435</v>
      </c>
      <c r="D306" s="136" t="s">
        <v>45</v>
      </c>
      <c r="E306" s="136" t="s">
        <v>38</v>
      </c>
      <c r="F306" s="139">
        <v>3453000</v>
      </c>
    </row>
    <row r="307" spans="1:6">
      <c r="A307" s="135">
        <v>4928</v>
      </c>
      <c r="B307" s="136" t="s">
        <v>554</v>
      </c>
      <c r="C307" s="136" t="s">
        <v>555</v>
      </c>
      <c r="D307" s="136" t="s">
        <v>45</v>
      </c>
      <c r="E307" s="136" t="s">
        <v>38</v>
      </c>
      <c r="F307" s="139">
        <v>5576000</v>
      </c>
    </row>
    <row r="308" spans="1:6">
      <c r="A308" s="135">
        <v>1120</v>
      </c>
      <c r="B308" s="136" t="s">
        <v>738</v>
      </c>
      <c r="C308" s="136" t="s">
        <v>555</v>
      </c>
      <c r="D308" s="136" t="s">
        <v>45</v>
      </c>
      <c r="E308" s="136" t="s">
        <v>38</v>
      </c>
      <c r="F308" s="139">
        <v>5577901</v>
      </c>
    </row>
    <row r="309" spans="1:6">
      <c r="A309" s="135">
        <v>3549</v>
      </c>
      <c r="B309" s="136" t="s">
        <v>182</v>
      </c>
      <c r="C309" s="136" t="s">
        <v>183</v>
      </c>
      <c r="D309" s="136" t="s">
        <v>45</v>
      </c>
      <c r="E309" s="136" t="s">
        <v>38</v>
      </c>
      <c r="F309" s="139">
        <v>5640001</v>
      </c>
    </row>
    <row r="310" spans="1:6">
      <c r="A310" s="135">
        <v>2020</v>
      </c>
      <c r="B310" s="136" t="s">
        <v>272</v>
      </c>
      <c r="C310" s="136" t="s">
        <v>273</v>
      </c>
      <c r="D310" s="136" t="s">
        <v>45</v>
      </c>
      <c r="E310" s="136" t="s">
        <v>38</v>
      </c>
      <c r="F310" s="139">
        <v>1405002</v>
      </c>
    </row>
    <row r="311" spans="1:6">
      <c r="A311" s="135">
        <v>1155</v>
      </c>
      <c r="B311" s="136" t="s">
        <v>741</v>
      </c>
      <c r="C311" s="136" t="s">
        <v>742</v>
      </c>
      <c r="D311" s="136" t="s">
        <v>45</v>
      </c>
      <c r="E311" s="136" t="s">
        <v>38</v>
      </c>
      <c r="F311" s="139">
        <v>3452000</v>
      </c>
    </row>
    <row r="312" spans="1:6">
      <c r="A312" s="135">
        <v>4537</v>
      </c>
      <c r="B312" s="136" t="s">
        <v>547</v>
      </c>
      <c r="C312" s="136" t="s">
        <v>548</v>
      </c>
      <c r="D312" s="136" t="s">
        <v>45</v>
      </c>
      <c r="E312" s="136" t="s">
        <v>38</v>
      </c>
      <c r="F312" s="139">
        <v>8260000</v>
      </c>
    </row>
    <row r="313" spans="1:6">
      <c r="A313" s="135">
        <v>1589</v>
      </c>
      <c r="B313" s="136" t="s">
        <v>730</v>
      </c>
      <c r="C313" s="136" t="s">
        <v>548</v>
      </c>
      <c r="D313" s="136" t="s">
        <v>45</v>
      </c>
      <c r="E313" s="136" t="s">
        <v>38</v>
      </c>
      <c r="F313" s="139">
        <v>8260000</v>
      </c>
    </row>
    <row r="314" spans="1:6">
      <c r="A314" s="135">
        <v>1490</v>
      </c>
      <c r="B314" s="136" t="s">
        <v>736</v>
      </c>
      <c r="C314" s="136" t="s">
        <v>737</v>
      </c>
      <c r="D314" s="136" t="s">
        <v>45</v>
      </c>
      <c r="E314" s="136" t="s">
        <v>38</v>
      </c>
      <c r="F314" s="139">
        <v>2701000</v>
      </c>
    </row>
    <row r="315" spans="1:6">
      <c r="A315" s="135">
        <v>3905</v>
      </c>
      <c r="B315" s="136" t="s">
        <v>98</v>
      </c>
      <c r="C315" s="136" t="s">
        <v>99</v>
      </c>
      <c r="D315" s="136" t="s">
        <v>45</v>
      </c>
      <c r="E315" s="136" t="s">
        <v>38</v>
      </c>
      <c r="F315" s="139">
        <v>5724002</v>
      </c>
    </row>
    <row r="316" spans="1:6">
      <c r="A316" s="135">
        <v>4600</v>
      </c>
      <c r="B316" s="136" t="s">
        <v>733</v>
      </c>
      <c r="C316" s="136" t="s">
        <v>734</v>
      </c>
      <c r="D316" s="136" t="s">
        <v>45</v>
      </c>
      <c r="E316" s="136" t="s">
        <v>38</v>
      </c>
      <c r="F316" s="139">
        <v>3653000</v>
      </c>
    </row>
    <row r="317" spans="1:6">
      <c r="A317" s="135">
        <v>2038</v>
      </c>
      <c r="B317" s="136" t="s">
        <v>276</v>
      </c>
      <c r="C317" s="136" t="s">
        <v>277</v>
      </c>
      <c r="D317" s="136" t="s">
        <v>45</v>
      </c>
      <c r="E317" s="136" t="s">
        <v>38</v>
      </c>
      <c r="F317" s="139">
        <v>5402600</v>
      </c>
    </row>
    <row r="318" spans="1:6">
      <c r="A318" s="135">
        <v>3891</v>
      </c>
      <c r="B318" s="136" t="s">
        <v>100</v>
      </c>
      <c r="C318" s="136" t="s">
        <v>101</v>
      </c>
      <c r="D318" s="136" t="s">
        <v>45</v>
      </c>
      <c r="E318" s="136" t="s">
        <v>38</v>
      </c>
      <c r="F318" s="139">
        <v>5154000</v>
      </c>
    </row>
    <row r="319" spans="1:6">
      <c r="A319" s="135">
        <v>6017</v>
      </c>
      <c r="B319" s="136" t="s">
        <v>618</v>
      </c>
      <c r="C319" s="136" t="s">
        <v>619</v>
      </c>
      <c r="D319" s="136" t="s">
        <v>45</v>
      </c>
      <c r="E319" s="136" t="s">
        <v>38</v>
      </c>
      <c r="F319" s="139">
        <v>4071010</v>
      </c>
    </row>
    <row r="320" spans="1:6">
      <c r="A320" s="135">
        <v>6963</v>
      </c>
      <c r="B320" s="136" t="s">
        <v>514</v>
      </c>
      <c r="C320" s="136" t="s">
        <v>515</v>
      </c>
      <c r="D320" s="136" t="s">
        <v>45</v>
      </c>
      <c r="E320" s="136" t="s">
        <v>38</v>
      </c>
      <c r="F320" s="139">
        <v>5350000</v>
      </c>
    </row>
    <row r="321" spans="1:6">
      <c r="A321" s="135">
        <v>6912</v>
      </c>
      <c r="B321" s="136" t="s">
        <v>541</v>
      </c>
      <c r="C321" s="136" t="s">
        <v>542</v>
      </c>
      <c r="D321" s="136" t="s">
        <v>45</v>
      </c>
      <c r="E321" s="136" t="s">
        <v>38</v>
      </c>
      <c r="F321" s="139">
        <v>4505004</v>
      </c>
    </row>
    <row r="322" spans="1:6">
      <c r="A322" s="135">
        <v>6114</v>
      </c>
      <c r="B322" s="136" t="s">
        <v>630</v>
      </c>
      <c r="C322" s="136" t="s">
        <v>542</v>
      </c>
      <c r="D322" s="136" t="s">
        <v>45</v>
      </c>
      <c r="E322" s="136" t="s">
        <v>38</v>
      </c>
      <c r="F322" s="139">
        <v>4505004</v>
      </c>
    </row>
    <row r="323" spans="1:6">
      <c r="A323" s="135">
        <v>4421</v>
      </c>
      <c r="B323" s="136" t="s">
        <v>713</v>
      </c>
      <c r="C323" s="136" t="s">
        <v>542</v>
      </c>
      <c r="D323" s="136" t="s">
        <v>45</v>
      </c>
      <c r="E323" s="136" t="s">
        <v>38</v>
      </c>
      <c r="F323" s="139">
        <v>4701000</v>
      </c>
    </row>
    <row r="324" spans="1:6">
      <c r="A324" s="135">
        <v>3956</v>
      </c>
      <c r="B324" s="136" t="s">
        <v>107</v>
      </c>
      <c r="C324" s="136" t="s">
        <v>108</v>
      </c>
      <c r="D324" s="136" t="s">
        <v>45</v>
      </c>
      <c r="E324" s="136" t="s">
        <v>38</v>
      </c>
      <c r="F324" s="139">
        <v>8071000</v>
      </c>
    </row>
    <row r="325" spans="1:6">
      <c r="A325" s="135">
        <v>4510</v>
      </c>
      <c r="B325" s="136" t="s">
        <v>569</v>
      </c>
      <c r="C325" s="136" t="s">
        <v>108</v>
      </c>
      <c r="D325" s="136" t="s">
        <v>45</v>
      </c>
      <c r="E325" s="136" t="s">
        <v>38</v>
      </c>
      <c r="F325" s="139">
        <v>8071000</v>
      </c>
    </row>
    <row r="326" spans="1:6">
      <c r="A326" s="135">
        <v>4995</v>
      </c>
      <c r="B326" s="136" t="s">
        <v>319</v>
      </c>
      <c r="C326" s="136" t="s">
        <v>320</v>
      </c>
      <c r="D326" s="136" t="s">
        <v>45</v>
      </c>
      <c r="E326" s="136" t="s">
        <v>38</v>
      </c>
      <c r="F326" s="139">
        <v>8020010</v>
      </c>
    </row>
    <row r="327" spans="1:6">
      <c r="A327" s="135">
        <v>1104</v>
      </c>
      <c r="B327" s="136" t="s">
        <v>725</v>
      </c>
      <c r="C327" s="136" t="s">
        <v>726</v>
      </c>
      <c r="D327" s="136" t="s">
        <v>45</v>
      </c>
      <c r="E327" s="136" t="s">
        <v>38</v>
      </c>
      <c r="F327" s="139">
        <v>4246900</v>
      </c>
    </row>
    <row r="328" spans="1:6">
      <c r="A328" s="135">
        <v>1546</v>
      </c>
      <c r="B328" s="136" t="s">
        <v>731</v>
      </c>
      <c r="C328" s="136" t="s">
        <v>732</v>
      </c>
      <c r="D328" s="136" t="s">
        <v>45</v>
      </c>
      <c r="E328" s="136" t="s">
        <v>38</v>
      </c>
      <c r="F328" s="139">
        <v>5724030</v>
      </c>
    </row>
    <row r="329" spans="1:6">
      <c r="A329" s="135">
        <v>4979</v>
      </c>
      <c r="B329" s="136" t="s">
        <v>324</v>
      </c>
      <c r="C329" s="136" t="s">
        <v>325</v>
      </c>
      <c r="D329" s="136" t="s">
        <v>45</v>
      </c>
      <c r="E329" s="136" t="s">
        <v>38</v>
      </c>
      <c r="F329" s="139">
        <v>2938000</v>
      </c>
    </row>
    <row r="330" spans="1:6">
      <c r="A330" s="135">
        <v>3913</v>
      </c>
      <c r="B330" s="136" t="s">
        <v>117</v>
      </c>
      <c r="C330" s="136" t="s">
        <v>118</v>
      </c>
      <c r="D330" s="136" t="s">
        <v>45</v>
      </c>
      <c r="E330" s="136" t="s">
        <v>38</v>
      </c>
      <c r="F330" s="139">
        <v>3076000</v>
      </c>
    </row>
    <row r="331" spans="1:6">
      <c r="A331" s="135">
        <v>6181</v>
      </c>
      <c r="B331" s="136" t="s">
        <v>602</v>
      </c>
      <c r="C331" s="136" t="s">
        <v>118</v>
      </c>
      <c r="D331" s="136" t="s">
        <v>45</v>
      </c>
      <c r="E331" s="136" t="s">
        <v>38</v>
      </c>
      <c r="F331" s="139">
        <v>3670000</v>
      </c>
    </row>
    <row r="332" spans="1:6">
      <c r="A332" s="135">
        <v>3972</v>
      </c>
      <c r="B332" s="136" t="s">
        <v>119</v>
      </c>
      <c r="C332" s="136" t="s">
        <v>120</v>
      </c>
      <c r="D332" s="136" t="s">
        <v>45</v>
      </c>
      <c r="E332" s="136" t="s">
        <v>38</v>
      </c>
      <c r="F332" s="139">
        <v>2304000</v>
      </c>
    </row>
    <row r="333" spans="1:6">
      <c r="A333" s="135">
        <v>6106</v>
      </c>
      <c r="B333" s="136" t="s">
        <v>621</v>
      </c>
      <c r="C333" s="136" t="s">
        <v>622</v>
      </c>
      <c r="D333" s="136" t="s">
        <v>45</v>
      </c>
      <c r="E333" s="136" t="s">
        <v>38</v>
      </c>
      <c r="F333" s="139">
        <v>3203010</v>
      </c>
    </row>
    <row r="334" spans="1:6">
      <c r="A334" s="135">
        <v>4480</v>
      </c>
      <c r="B334" s="136" t="s">
        <v>549</v>
      </c>
      <c r="C334" s="136" t="s">
        <v>550</v>
      </c>
      <c r="D334" s="136" t="s">
        <v>45</v>
      </c>
      <c r="E334" s="136" t="s">
        <v>38</v>
      </c>
      <c r="F334" s="139">
        <v>4794000</v>
      </c>
    </row>
    <row r="335" spans="1:6">
      <c r="A335" s="135">
        <v>1031</v>
      </c>
      <c r="B335" s="136" t="s">
        <v>739</v>
      </c>
      <c r="C335" s="136" t="s">
        <v>740</v>
      </c>
      <c r="D335" s="136" t="s">
        <v>45</v>
      </c>
      <c r="E335" s="136" t="s">
        <v>38</v>
      </c>
      <c r="F335" s="139">
        <v>4794000</v>
      </c>
    </row>
    <row r="336" spans="1:6">
      <c r="A336" s="135">
        <v>4472</v>
      </c>
      <c r="B336" s="136" t="s">
        <v>481</v>
      </c>
      <c r="C336" s="136" t="s">
        <v>482</v>
      </c>
      <c r="D336" s="136" t="s">
        <v>45</v>
      </c>
      <c r="E336" s="136" t="s">
        <v>38</v>
      </c>
      <c r="F336" s="139">
        <v>3295100</v>
      </c>
    </row>
    <row r="337" spans="1:6">
      <c r="A337" s="135">
        <v>6238</v>
      </c>
      <c r="B337" s="136" t="s">
        <v>597</v>
      </c>
      <c r="C337" s="136" t="s">
        <v>598</v>
      </c>
      <c r="D337" s="136" t="s">
        <v>45</v>
      </c>
      <c r="E337" s="136" t="s">
        <v>38</v>
      </c>
      <c r="F337" s="139">
        <v>2063902</v>
      </c>
    </row>
    <row r="338" spans="1:6">
      <c r="A338" s="135">
        <v>1066</v>
      </c>
      <c r="B338" s="136" t="s">
        <v>745</v>
      </c>
      <c r="C338" s="136" t="s">
        <v>598</v>
      </c>
      <c r="D338" s="136" t="s">
        <v>45</v>
      </c>
      <c r="E338" s="136" t="s">
        <v>38</v>
      </c>
      <c r="F338" s="139">
        <v>2063902</v>
      </c>
    </row>
    <row r="339" spans="1:6">
      <c r="A339" s="135">
        <v>4375</v>
      </c>
      <c r="B339" s="136" t="s">
        <v>533</v>
      </c>
      <c r="C339" s="136" t="s">
        <v>534</v>
      </c>
      <c r="D339" s="136" t="s">
        <v>45</v>
      </c>
      <c r="E339" s="136" t="s">
        <v>38</v>
      </c>
      <c r="F339" s="139">
        <v>8260000</v>
      </c>
    </row>
    <row r="340" spans="1:6">
      <c r="A340" s="135">
        <v>5037</v>
      </c>
      <c r="B340" s="136" t="s">
        <v>295</v>
      </c>
      <c r="C340" s="136" t="s">
        <v>296</v>
      </c>
      <c r="D340" s="136" t="s">
        <v>45</v>
      </c>
      <c r="E340" s="136" t="s">
        <v>38</v>
      </c>
      <c r="F340" s="139">
        <v>6327290</v>
      </c>
    </row>
    <row r="341" spans="1:6">
      <c r="A341" s="135">
        <v>4987</v>
      </c>
      <c r="B341" s="136" t="s">
        <v>326</v>
      </c>
      <c r="C341" s="136" t="s">
        <v>296</v>
      </c>
      <c r="D341" s="136" t="s">
        <v>45</v>
      </c>
      <c r="E341" s="136" t="s">
        <v>38</v>
      </c>
      <c r="F341" s="139">
        <v>2063000</v>
      </c>
    </row>
    <row r="342" spans="1:6">
      <c r="A342" s="135">
        <v>6041</v>
      </c>
      <c r="B342" s="136" t="s">
        <v>636</v>
      </c>
      <c r="C342" s="136" t="s">
        <v>637</v>
      </c>
      <c r="D342" s="136" t="s">
        <v>45</v>
      </c>
      <c r="E342" s="136" t="s">
        <v>38</v>
      </c>
      <c r="F342" s="139">
        <v>4287010</v>
      </c>
    </row>
    <row r="343" spans="1:6">
      <c r="A343" s="135">
        <v>3999</v>
      </c>
      <c r="B343" s="136" t="s">
        <v>643</v>
      </c>
      <c r="C343" s="136" t="s">
        <v>644</v>
      </c>
      <c r="D343" s="136" t="s">
        <v>45</v>
      </c>
      <c r="E343" s="136" t="s">
        <v>38</v>
      </c>
      <c r="F343" s="139">
        <v>4547005</v>
      </c>
    </row>
    <row r="344" spans="1:6">
      <c r="A344" s="135">
        <v>1465</v>
      </c>
      <c r="B344" s="136" t="s">
        <v>758</v>
      </c>
      <c r="C344" s="136" t="s">
        <v>759</v>
      </c>
      <c r="D344" s="136" t="s">
        <v>45</v>
      </c>
      <c r="E344" s="136" t="s">
        <v>38</v>
      </c>
      <c r="F344" s="139">
        <v>3342000</v>
      </c>
    </row>
    <row r="345" spans="1:6">
      <c r="A345" s="135">
        <v>4464</v>
      </c>
      <c r="B345" s="136" t="s">
        <v>479</v>
      </c>
      <c r="C345" s="136" t="s">
        <v>480</v>
      </c>
      <c r="D345" s="136" t="s">
        <v>45</v>
      </c>
      <c r="E345" s="136" t="s">
        <v>38</v>
      </c>
      <c r="F345" s="139">
        <v>5641000</v>
      </c>
    </row>
    <row r="346" spans="1:6">
      <c r="A346" s="135">
        <v>6491</v>
      </c>
      <c r="B346" s="136" t="s">
        <v>389</v>
      </c>
      <c r="C346" s="136" t="s">
        <v>390</v>
      </c>
      <c r="D346" s="136" t="s">
        <v>45</v>
      </c>
      <c r="E346" s="136" t="s">
        <v>38</v>
      </c>
      <c r="F346" s="139">
        <v>5690000</v>
      </c>
    </row>
    <row r="347" spans="1:6">
      <c r="A347" s="135">
        <v>2046</v>
      </c>
      <c r="B347" s="136" t="s">
        <v>268</v>
      </c>
      <c r="C347" s="136" t="s">
        <v>269</v>
      </c>
      <c r="D347" s="136" t="s">
        <v>45</v>
      </c>
      <c r="E347" s="136" t="s">
        <v>38</v>
      </c>
      <c r="F347" s="139">
        <v>2049010</v>
      </c>
    </row>
    <row r="348" spans="1:6">
      <c r="A348" s="135">
        <v>3395</v>
      </c>
      <c r="B348" s="136" t="s">
        <v>746</v>
      </c>
      <c r="C348" s="136" t="s">
        <v>747</v>
      </c>
      <c r="D348" s="136" t="s">
        <v>45</v>
      </c>
      <c r="E348" s="136" t="s">
        <v>38</v>
      </c>
      <c r="F348" s="139">
        <v>5317000</v>
      </c>
    </row>
    <row r="349" spans="1:6">
      <c r="A349" s="135">
        <v>1929</v>
      </c>
      <c r="B349" s="136" t="s">
        <v>748</v>
      </c>
      <c r="C349" s="136" t="s">
        <v>747</v>
      </c>
      <c r="D349" s="136" t="s">
        <v>45</v>
      </c>
      <c r="E349" s="136" t="s">
        <v>38</v>
      </c>
      <c r="F349" s="139">
        <v>5690900</v>
      </c>
    </row>
    <row r="350" spans="1:6">
      <c r="A350" s="135">
        <v>4359</v>
      </c>
      <c r="B350" s="136" t="s">
        <v>584</v>
      </c>
      <c r="C350" s="136" t="s">
        <v>585</v>
      </c>
      <c r="D350" s="136" t="s">
        <v>586</v>
      </c>
      <c r="E350" s="136" t="s">
        <v>38</v>
      </c>
      <c r="F350" s="139">
        <v>11380001</v>
      </c>
    </row>
    <row r="351" spans="1:6">
      <c r="A351" s="135">
        <v>1201</v>
      </c>
      <c r="B351" s="136" t="s">
        <v>708</v>
      </c>
      <c r="C351" s="136" t="s">
        <v>709</v>
      </c>
      <c r="D351" s="136" t="s">
        <v>586</v>
      </c>
      <c r="E351" s="136" t="s">
        <v>38</v>
      </c>
      <c r="F351" s="139">
        <v>11380001</v>
      </c>
    </row>
    <row r="352" spans="1:6">
      <c r="A352" s="135">
        <v>3220</v>
      </c>
      <c r="B352" s="136" t="s">
        <v>722</v>
      </c>
      <c r="C352" s="136" t="s">
        <v>723</v>
      </c>
      <c r="D352" s="136" t="s">
        <v>572</v>
      </c>
      <c r="E352" s="136" t="s">
        <v>38</v>
      </c>
      <c r="F352" s="139">
        <v>18065100</v>
      </c>
    </row>
    <row r="353" spans="1:6">
      <c r="A353" s="135">
        <v>4839</v>
      </c>
      <c r="B353" s="136" t="s">
        <v>570</v>
      </c>
      <c r="C353" s="136" t="s">
        <v>571</v>
      </c>
      <c r="D353" s="136" t="s">
        <v>572</v>
      </c>
      <c r="E353" s="136" t="s">
        <v>38</v>
      </c>
      <c r="F353" s="139">
        <v>18060105</v>
      </c>
    </row>
    <row r="354" spans="1:6">
      <c r="A354" s="135">
        <v>6157</v>
      </c>
      <c r="B354" s="136" t="s">
        <v>292</v>
      </c>
      <c r="C354" s="136" t="s">
        <v>293</v>
      </c>
      <c r="D354" s="136" t="s">
        <v>294</v>
      </c>
      <c r="E354" s="136" t="s">
        <v>38</v>
      </c>
      <c r="F354" s="139">
        <v>8683000</v>
      </c>
    </row>
    <row r="355" spans="1:6">
      <c r="A355" s="135">
        <v>3301</v>
      </c>
      <c r="B355" s="136" t="s">
        <v>753</v>
      </c>
      <c r="C355" s="136" t="s">
        <v>110</v>
      </c>
      <c r="D355" s="136" t="s">
        <v>754</v>
      </c>
      <c r="E355" s="136" t="s">
        <v>38</v>
      </c>
      <c r="F355" s="139">
        <v>6768200</v>
      </c>
    </row>
    <row r="356" spans="1:6">
      <c r="A356" s="135">
        <v>4685</v>
      </c>
      <c r="B356" s="136" t="s">
        <v>461</v>
      </c>
      <c r="C356" s="136" t="s">
        <v>462</v>
      </c>
      <c r="D356" s="136" t="s">
        <v>463</v>
      </c>
      <c r="E356" s="136" t="s">
        <v>38</v>
      </c>
      <c r="F356" s="139">
        <v>6768200</v>
      </c>
    </row>
    <row r="357" spans="1:6">
      <c r="A357" s="135">
        <v>4200</v>
      </c>
      <c r="B357" s="136" t="s">
        <v>755</v>
      </c>
      <c r="C357" s="136" t="s">
        <v>756</v>
      </c>
      <c r="D357" s="136" t="s">
        <v>232</v>
      </c>
      <c r="E357" s="136" t="s">
        <v>38</v>
      </c>
      <c r="F357" s="139">
        <v>12040000</v>
      </c>
    </row>
    <row r="358" spans="1:6">
      <c r="A358" s="135">
        <v>1899</v>
      </c>
      <c r="B358" s="136" t="s">
        <v>231</v>
      </c>
      <c r="C358" s="136" t="s">
        <v>110</v>
      </c>
      <c r="D358" s="136" t="s">
        <v>232</v>
      </c>
      <c r="E358" s="136" t="s">
        <v>38</v>
      </c>
      <c r="F358" s="139">
        <v>12080000</v>
      </c>
    </row>
    <row r="359" spans="1:6">
      <c r="A359" s="135">
        <v>4545</v>
      </c>
      <c r="B359" s="136" t="s">
        <v>608</v>
      </c>
      <c r="C359" s="136" t="s">
        <v>609</v>
      </c>
      <c r="D359" s="136" t="s">
        <v>232</v>
      </c>
      <c r="E359" s="136" t="s">
        <v>38</v>
      </c>
      <c r="F359" s="139">
        <v>12040000</v>
      </c>
    </row>
    <row r="360" spans="1:6">
      <c r="A360" s="135">
        <v>1830</v>
      </c>
      <c r="B360" s="136" t="s">
        <v>235</v>
      </c>
      <c r="C360" s="136" t="s">
        <v>79</v>
      </c>
      <c r="D360" s="136" t="s">
        <v>236</v>
      </c>
      <c r="E360" s="136" t="s">
        <v>38</v>
      </c>
      <c r="F360" s="139">
        <v>13280000</v>
      </c>
    </row>
    <row r="361" spans="1:6">
      <c r="A361" s="135">
        <v>4260</v>
      </c>
      <c r="B361" s="136" t="s">
        <v>578</v>
      </c>
      <c r="C361" s="136" t="s">
        <v>579</v>
      </c>
      <c r="D361" s="136" t="s">
        <v>580</v>
      </c>
      <c r="E361" s="136" t="s">
        <v>38</v>
      </c>
      <c r="F361" s="139">
        <v>18110650</v>
      </c>
    </row>
    <row r="362" spans="1:6" ht="15.75" thickBot="1">
      <c r="A362" s="137">
        <v>1252</v>
      </c>
      <c r="B362" s="138" t="s">
        <v>724</v>
      </c>
      <c r="C362" s="138" t="s">
        <v>579</v>
      </c>
      <c r="D362" s="138" t="s">
        <v>580</v>
      </c>
      <c r="E362" s="138" t="s">
        <v>38</v>
      </c>
      <c r="F362" s="140">
        <v>18110650</v>
      </c>
    </row>
  </sheetData>
  <sortState ref="A2:F362">
    <sortCondition ref="E2:E3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F362"/>
  <sheetViews>
    <sheetView workbookViewId="0">
      <selection activeCell="E1" sqref="E1"/>
    </sheetView>
  </sheetViews>
  <sheetFormatPr defaultRowHeight="15"/>
  <cols>
    <col min="1" max="1" width="7.85546875" style="131" bestFit="1" customWidth="1"/>
    <col min="2" max="2" width="36.140625" style="82" bestFit="1" customWidth="1"/>
    <col min="3" max="3" width="24.42578125" style="82" bestFit="1" customWidth="1"/>
    <col min="4" max="4" width="24.28515625" style="82" bestFit="1" customWidth="1"/>
    <col min="5" max="5" width="4.5703125" style="82" customWidth="1"/>
    <col min="6" max="6" width="16.42578125" style="146" bestFit="1" customWidth="1"/>
    <col min="7" max="16384" width="9.140625" style="59"/>
  </cols>
  <sheetData>
    <row r="1" spans="1:6">
      <c r="A1" s="133" t="s">
        <v>30</v>
      </c>
      <c r="B1" s="134" t="s">
        <v>31</v>
      </c>
      <c r="C1" s="134" t="s">
        <v>32</v>
      </c>
      <c r="D1" s="134" t="s">
        <v>33</v>
      </c>
      <c r="E1" s="134" t="s">
        <v>34</v>
      </c>
      <c r="F1" s="143" t="s">
        <v>1132</v>
      </c>
    </row>
    <row r="2" spans="1:6">
      <c r="A2" s="135">
        <v>6149</v>
      </c>
      <c r="B2" s="136" t="s">
        <v>379</v>
      </c>
      <c r="C2" s="136" t="s">
        <v>380</v>
      </c>
      <c r="D2" s="136" t="s">
        <v>138</v>
      </c>
      <c r="E2" s="136" t="s">
        <v>139</v>
      </c>
      <c r="F2" s="144">
        <v>69057015</v>
      </c>
    </row>
    <row r="3" spans="1:6">
      <c r="A3" s="135">
        <v>6939</v>
      </c>
      <c r="B3" s="136" t="s">
        <v>377</v>
      </c>
      <c r="C3" s="136" t="s">
        <v>378</v>
      </c>
      <c r="D3" s="136" t="s">
        <v>138</v>
      </c>
      <c r="E3" s="136" t="s">
        <v>139</v>
      </c>
      <c r="F3" s="144">
        <v>69083000</v>
      </c>
    </row>
    <row r="4" spans="1:6">
      <c r="A4" s="135">
        <v>248</v>
      </c>
      <c r="B4" s="136" t="s">
        <v>178</v>
      </c>
      <c r="C4" s="136" t="s">
        <v>110</v>
      </c>
      <c r="D4" s="136" t="s">
        <v>138</v>
      </c>
      <c r="E4" s="136" t="s">
        <v>139</v>
      </c>
      <c r="F4" s="144">
        <v>69010040</v>
      </c>
    </row>
    <row r="5" spans="1:6">
      <c r="A5" s="135">
        <v>86</v>
      </c>
      <c r="B5" s="136" t="s">
        <v>184</v>
      </c>
      <c r="C5" s="136" t="s">
        <v>185</v>
      </c>
      <c r="D5" s="136" t="s">
        <v>138</v>
      </c>
      <c r="E5" s="136" t="s">
        <v>139</v>
      </c>
      <c r="F5" s="144">
        <v>69050902</v>
      </c>
    </row>
    <row r="6" spans="1:6">
      <c r="A6" s="135">
        <v>4413</v>
      </c>
      <c r="B6" s="136" t="s">
        <v>388</v>
      </c>
      <c r="C6" s="136" t="s">
        <v>173</v>
      </c>
      <c r="D6" s="136" t="s">
        <v>138</v>
      </c>
      <c r="E6" s="136" t="s">
        <v>139</v>
      </c>
      <c r="F6" s="144">
        <v>69090002</v>
      </c>
    </row>
    <row r="7" spans="1:6">
      <c r="A7" s="135">
        <v>3557</v>
      </c>
      <c r="B7" s="136" t="s">
        <v>210</v>
      </c>
      <c r="C7" s="136" t="s">
        <v>211</v>
      </c>
      <c r="D7" s="136" t="s">
        <v>138</v>
      </c>
      <c r="E7" s="136" t="s">
        <v>139</v>
      </c>
      <c r="F7" s="144">
        <v>69040000</v>
      </c>
    </row>
    <row r="8" spans="1:6">
      <c r="A8" s="135">
        <v>1651</v>
      </c>
      <c r="B8" s="136" t="s">
        <v>407</v>
      </c>
      <c r="C8" s="136" t="s">
        <v>408</v>
      </c>
      <c r="D8" s="136" t="s">
        <v>138</v>
      </c>
      <c r="E8" s="136" t="s">
        <v>139</v>
      </c>
      <c r="F8" s="144">
        <v>69050010</v>
      </c>
    </row>
    <row r="9" spans="1:6">
      <c r="A9" s="135">
        <v>3760</v>
      </c>
      <c r="B9" s="136" t="s">
        <v>681</v>
      </c>
      <c r="C9" s="136" t="s">
        <v>408</v>
      </c>
      <c r="D9" s="136" t="s">
        <v>138</v>
      </c>
      <c r="E9" s="136" t="s">
        <v>139</v>
      </c>
      <c r="F9" s="144">
        <v>690930000</v>
      </c>
    </row>
    <row r="10" spans="1:6">
      <c r="A10" s="135">
        <v>3379</v>
      </c>
      <c r="B10" s="136" t="s">
        <v>136</v>
      </c>
      <c r="C10" s="136" t="s">
        <v>137</v>
      </c>
      <c r="D10" s="136" t="s">
        <v>138</v>
      </c>
      <c r="E10" s="136" t="s">
        <v>139</v>
      </c>
      <c r="F10" s="144">
        <v>69048660</v>
      </c>
    </row>
    <row r="11" spans="1:6">
      <c r="A11" s="135">
        <v>6670</v>
      </c>
      <c r="B11" s="136" t="s">
        <v>589</v>
      </c>
      <c r="C11" s="136" t="s">
        <v>137</v>
      </c>
      <c r="D11" s="136" t="s">
        <v>138</v>
      </c>
      <c r="E11" s="136" t="s">
        <v>139</v>
      </c>
      <c r="F11" s="144">
        <v>69041025</v>
      </c>
    </row>
    <row r="12" spans="1:6">
      <c r="A12" s="135">
        <v>6386</v>
      </c>
      <c r="B12" s="136" t="s">
        <v>282</v>
      </c>
      <c r="C12" s="136" t="s">
        <v>283</v>
      </c>
      <c r="D12" s="136" t="s">
        <v>284</v>
      </c>
      <c r="E12" s="136" t="s">
        <v>49</v>
      </c>
      <c r="F12" s="144">
        <v>45025710</v>
      </c>
    </row>
    <row r="13" spans="1:6">
      <c r="A13" s="135">
        <v>6335</v>
      </c>
      <c r="B13" s="136" t="s">
        <v>46</v>
      </c>
      <c r="C13" s="136" t="s">
        <v>47</v>
      </c>
      <c r="D13" s="136" t="s">
        <v>48</v>
      </c>
      <c r="E13" s="136" t="s">
        <v>49</v>
      </c>
      <c r="F13" s="144">
        <v>48080000</v>
      </c>
    </row>
    <row r="14" spans="1:6">
      <c r="A14" s="135">
        <v>6343</v>
      </c>
      <c r="B14" s="136" t="s">
        <v>638</v>
      </c>
      <c r="C14" s="136" t="s">
        <v>47</v>
      </c>
      <c r="D14" s="136" t="s">
        <v>48</v>
      </c>
      <c r="E14" s="136" t="s">
        <v>49</v>
      </c>
      <c r="F14" s="144">
        <v>48080000</v>
      </c>
    </row>
    <row r="15" spans="1:6">
      <c r="A15" s="135">
        <v>4162</v>
      </c>
      <c r="B15" s="136" t="s">
        <v>310</v>
      </c>
      <c r="C15" s="136" t="s">
        <v>311</v>
      </c>
      <c r="D15" s="136" t="s">
        <v>312</v>
      </c>
      <c r="E15" s="136" t="s">
        <v>70</v>
      </c>
      <c r="F15" s="144">
        <v>60120002</v>
      </c>
    </row>
    <row r="16" spans="1:6">
      <c r="A16" s="135">
        <v>3824</v>
      </c>
      <c r="B16" s="136" t="s">
        <v>313</v>
      </c>
      <c r="C16" s="136" t="s">
        <v>314</v>
      </c>
      <c r="D16" s="136" t="s">
        <v>312</v>
      </c>
      <c r="E16" s="136" t="s">
        <v>70</v>
      </c>
      <c r="F16" s="144">
        <v>60710001</v>
      </c>
    </row>
    <row r="17" spans="1:6">
      <c r="A17" s="135">
        <v>4081</v>
      </c>
      <c r="B17" s="136" t="s">
        <v>640</v>
      </c>
      <c r="C17" s="136" t="s">
        <v>141</v>
      </c>
      <c r="D17" s="136" t="s">
        <v>76</v>
      </c>
      <c r="E17" s="136" t="s">
        <v>70</v>
      </c>
      <c r="F17" s="144">
        <v>72501100</v>
      </c>
    </row>
    <row r="18" spans="1:6">
      <c r="A18" s="135">
        <v>6394</v>
      </c>
      <c r="B18" s="136" t="s">
        <v>67</v>
      </c>
      <c r="C18" s="136" t="s">
        <v>68</v>
      </c>
      <c r="D18" s="136" t="s">
        <v>69</v>
      </c>
      <c r="E18" s="136" t="s">
        <v>70</v>
      </c>
      <c r="F18" s="144">
        <v>63041140</v>
      </c>
    </row>
    <row r="19" spans="1:6">
      <c r="A19" s="135">
        <v>3468</v>
      </c>
      <c r="B19" s="136" t="s">
        <v>114</v>
      </c>
      <c r="C19" s="136" t="s">
        <v>115</v>
      </c>
      <c r="D19" s="136" t="s">
        <v>116</v>
      </c>
      <c r="E19" s="136" t="s">
        <v>77</v>
      </c>
      <c r="F19" s="144">
        <v>71953100</v>
      </c>
    </row>
    <row r="20" spans="1:6">
      <c r="A20" s="135">
        <v>4936</v>
      </c>
      <c r="B20" s="136" t="s">
        <v>74</v>
      </c>
      <c r="C20" s="136" t="s">
        <v>75</v>
      </c>
      <c r="D20" s="136" t="s">
        <v>76</v>
      </c>
      <c r="E20" s="136" t="s">
        <v>77</v>
      </c>
      <c r="F20" s="144">
        <v>70770916</v>
      </c>
    </row>
    <row r="21" spans="1:6">
      <c r="A21" s="135">
        <v>2640</v>
      </c>
      <c r="B21" s="136" t="s">
        <v>529</v>
      </c>
      <c r="C21" s="136" t="s">
        <v>530</v>
      </c>
      <c r="D21" s="136" t="s">
        <v>76</v>
      </c>
      <c r="E21" s="136" t="s">
        <v>77</v>
      </c>
      <c r="F21" s="144">
        <v>70760545</v>
      </c>
    </row>
    <row r="22" spans="1:6">
      <c r="A22" s="135">
        <v>2666</v>
      </c>
      <c r="B22" s="136" t="s">
        <v>527</v>
      </c>
      <c r="C22" s="136" t="s">
        <v>528</v>
      </c>
      <c r="D22" s="136" t="s">
        <v>76</v>
      </c>
      <c r="E22" s="136" t="s">
        <v>77</v>
      </c>
      <c r="F22" s="144">
        <v>70730570</v>
      </c>
    </row>
    <row r="23" spans="1:6">
      <c r="A23" s="135">
        <v>1040</v>
      </c>
      <c r="B23" s="136" t="s">
        <v>105</v>
      </c>
      <c r="C23" s="136" t="s">
        <v>106</v>
      </c>
      <c r="D23" s="136" t="s">
        <v>76</v>
      </c>
      <c r="E23" s="136" t="s">
        <v>77</v>
      </c>
      <c r="F23" s="144">
        <v>71218900</v>
      </c>
    </row>
    <row r="24" spans="1:6">
      <c r="A24" s="135">
        <v>2658</v>
      </c>
      <c r="B24" s="136" t="s">
        <v>557</v>
      </c>
      <c r="C24" s="136" t="s">
        <v>558</v>
      </c>
      <c r="D24" s="136" t="s">
        <v>559</v>
      </c>
      <c r="E24" s="136" t="s">
        <v>77</v>
      </c>
      <c r="F24" s="144">
        <v>70760545</v>
      </c>
    </row>
    <row r="25" spans="1:6">
      <c r="A25" s="135">
        <v>1350</v>
      </c>
      <c r="B25" s="136" t="s">
        <v>109</v>
      </c>
      <c r="C25" s="136" t="s">
        <v>110</v>
      </c>
      <c r="D25" s="136" t="s">
        <v>76</v>
      </c>
      <c r="E25" s="136" t="s">
        <v>77</v>
      </c>
      <c r="F25" s="144">
        <v>71220500</v>
      </c>
    </row>
    <row r="26" spans="1:6">
      <c r="A26" s="135">
        <v>4871</v>
      </c>
      <c r="B26" s="136" t="s">
        <v>442</v>
      </c>
      <c r="C26" s="136" t="s">
        <v>443</v>
      </c>
      <c r="D26" s="136" t="s">
        <v>76</v>
      </c>
      <c r="E26" s="136" t="s">
        <v>77</v>
      </c>
      <c r="F26" s="144">
        <v>71635013</v>
      </c>
    </row>
    <row r="27" spans="1:6">
      <c r="A27" s="135">
        <v>2771</v>
      </c>
      <c r="B27" s="136" t="s">
        <v>519</v>
      </c>
      <c r="C27" s="136" t="s">
        <v>520</v>
      </c>
      <c r="D27" s="136" t="s">
        <v>76</v>
      </c>
      <c r="E27" s="136" t="s">
        <v>77</v>
      </c>
      <c r="F27" s="144">
        <v>70760511</v>
      </c>
    </row>
    <row r="28" spans="1:6">
      <c r="A28" s="135">
        <v>2780</v>
      </c>
      <c r="B28" s="136" t="s">
        <v>556</v>
      </c>
      <c r="C28" s="136" t="s">
        <v>520</v>
      </c>
      <c r="D28" s="136" t="s">
        <v>106</v>
      </c>
      <c r="E28" s="136" t="s">
        <v>77</v>
      </c>
      <c r="F28" s="144">
        <v>70236400</v>
      </c>
    </row>
    <row r="29" spans="1:6">
      <c r="A29" s="135">
        <v>3506</v>
      </c>
      <c r="B29" s="136" t="s">
        <v>140</v>
      </c>
      <c r="C29" s="136" t="s">
        <v>141</v>
      </c>
      <c r="D29" s="136" t="s">
        <v>76</v>
      </c>
      <c r="E29" s="136" t="s">
        <v>77</v>
      </c>
      <c r="F29" s="144">
        <v>72501100</v>
      </c>
    </row>
    <row r="30" spans="1:6">
      <c r="A30" s="135">
        <v>2739</v>
      </c>
      <c r="B30" s="136" t="s">
        <v>145</v>
      </c>
      <c r="C30" s="136" t="s">
        <v>141</v>
      </c>
      <c r="D30" s="136" t="s">
        <v>76</v>
      </c>
      <c r="E30" s="136" t="s">
        <v>77</v>
      </c>
      <c r="F30" s="144">
        <v>72501100</v>
      </c>
    </row>
    <row r="31" spans="1:6">
      <c r="A31" s="135">
        <v>3638</v>
      </c>
      <c r="B31" s="136" t="s">
        <v>649</v>
      </c>
      <c r="C31" s="136" t="s">
        <v>141</v>
      </c>
      <c r="D31" s="136" t="s">
        <v>76</v>
      </c>
      <c r="E31" s="136" t="s">
        <v>77</v>
      </c>
      <c r="F31" s="144">
        <v>72501100</v>
      </c>
    </row>
    <row r="32" spans="1:6">
      <c r="A32" s="135">
        <v>3689</v>
      </c>
      <c r="B32" s="136" t="s">
        <v>659</v>
      </c>
      <c r="C32" s="136" t="s">
        <v>660</v>
      </c>
      <c r="D32" s="136" t="s">
        <v>661</v>
      </c>
      <c r="E32" s="136" t="s">
        <v>77</v>
      </c>
      <c r="F32" s="144">
        <v>72501100</v>
      </c>
    </row>
    <row r="33" spans="1:6">
      <c r="A33" s="135">
        <v>2631</v>
      </c>
      <c r="B33" s="136" t="s">
        <v>592</v>
      </c>
      <c r="C33" s="136" t="s">
        <v>593</v>
      </c>
      <c r="D33" s="136" t="s">
        <v>76</v>
      </c>
      <c r="E33" s="136" t="s">
        <v>77</v>
      </c>
      <c r="F33" s="144">
        <v>72035505</v>
      </c>
    </row>
    <row r="34" spans="1:6">
      <c r="A34" s="135">
        <v>280</v>
      </c>
      <c r="B34" s="136" t="s">
        <v>663</v>
      </c>
      <c r="C34" s="136" t="s">
        <v>664</v>
      </c>
      <c r="D34" s="136" t="s">
        <v>665</v>
      </c>
      <c r="E34" s="136" t="s">
        <v>63</v>
      </c>
      <c r="F34" s="144">
        <v>29056280</v>
      </c>
    </row>
    <row r="35" spans="1:6">
      <c r="A35" s="135">
        <v>3620</v>
      </c>
      <c r="B35" s="136" t="s">
        <v>656</v>
      </c>
      <c r="C35" s="136" t="s">
        <v>132</v>
      </c>
      <c r="D35" s="136" t="s">
        <v>657</v>
      </c>
      <c r="E35" s="136" t="s">
        <v>63</v>
      </c>
      <c r="F35" s="144">
        <v>29146220</v>
      </c>
    </row>
    <row r="36" spans="1:6">
      <c r="A36" s="135">
        <v>1813</v>
      </c>
      <c r="B36" s="136" t="s">
        <v>146</v>
      </c>
      <c r="C36" s="136" t="s">
        <v>147</v>
      </c>
      <c r="D36" s="136" t="s">
        <v>148</v>
      </c>
      <c r="E36" s="136" t="s">
        <v>63</v>
      </c>
      <c r="F36" s="144">
        <v>29161901</v>
      </c>
    </row>
    <row r="37" spans="1:6">
      <c r="A37" s="135">
        <v>3239</v>
      </c>
      <c r="B37" s="136" t="s">
        <v>222</v>
      </c>
      <c r="C37" s="136" t="s">
        <v>147</v>
      </c>
      <c r="D37" s="136" t="s">
        <v>148</v>
      </c>
      <c r="E37" s="136" t="s">
        <v>63</v>
      </c>
      <c r="F37" s="144">
        <v>29161901</v>
      </c>
    </row>
    <row r="38" spans="1:6">
      <c r="A38" s="135">
        <v>1376</v>
      </c>
      <c r="B38" s="136" t="s">
        <v>280</v>
      </c>
      <c r="C38" s="136" t="s">
        <v>281</v>
      </c>
      <c r="D38" s="136" t="s">
        <v>62</v>
      </c>
      <c r="E38" s="136" t="s">
        <v>63</v>
      </c>
      <c r="F38" s="144">
        <v>29112000</v>
      </c>
    </row>
    <row r="39" spans="1:6">
      <c r="A39" s="135">
        <v>426</v>
      </c>
      <c r="B39" s="136" t="s">
        <v>645</v>
      </c>
      <c r="C39" s="136" t="s">
        <v>281</v>
      </c>
      <c r="D39" s="136" t="s">
        <v>62</v>
      </c>
      <c r="E39" s="136" t="s">
        <v>63</v>
      </c>
      <c r="F39" s="144">
        <v>29112000</v>
      </c>
    </row>
    <row r="40" spans="1:6">
      <c r="A40" s="135">
        <v>434</v>
      </c>
      <c r="B40" s="136" t="s">
        <v>682</v>
      </c>
      <c r="C40" s="136" t="s">
        <v>281</v>
      </c>
      <c r="D40" s="136" t="s">
        <v>62</v>
      </c>
      <c r="E40" s="136" t="s">
        <v>63</v>
      </c>
      <c r="F40" s="144">
        <v>29112000</v>
      </c>
    </row>
    <row r="41" spans="1:6">
      <c r="A41" s="135">
        <v>6289</v>
      </c>
      <c r="B41" s="136" t="s">
        <v>60</v>
      </c>
      <c r="C41" s="136" t="s">
        <v>61</v>
      </c>
      <c r="D41" s="136" t="s">
        <v>62</v>
      </c>
      <c r="E41" s="136" t="s">
        <v>63</v>
      </c>
      <c r="F41" s="144">
        <v>29123600</v>
      </c>
    </row>
    <row r="42" spans="1:6">
      <c r="A42" s="135">
        <v>4499</v>
      </c>
      <c r="B42" s="136" t="s">
        <v>340</v>
      </c>
      <c r="C42" s="136" t="s">
        <v>341</v>
      </c>
      <c r="D42" s="136" t="s">
        <v>342</v>
      </c>
      <c r="E42" s="136" t="s">
        <v>337</v>
      </c>
      <c r="F42" s="144">
        <v>75080240</v>
      </c>
    </row>
    <row r="43" spans="1:6">
      <c r="A43" s="135">
        <v>4634</v>
      </c>
      <c r="B43" s="136" t="s">
        <v>433</v>
      </c>
      <c r="C43" s="136" t="s">
        <v>341</v>
      </c>
      <c r="D43" s="136" t="s">
        <v>342</v>
      </c>
      <c r="E43" s="136" t="s">
        <v>337</v>
      </c>
      <c r="F43" s="144">
        <v>75080240</v>
      </c>
    </row>
    <row r="44" spans="1:6">
      <c r="A44" s="135">
        <v>4073</v>
      </c>
      <c r="B44" s="136" t="s">
        <v>486</v>
      </c>
      <c r="C44" s="136" t="s">
        <v>487</v>
      </c>
      <c r="D44" s="136" t="s">
        <v>488</v>
      </c>
      <c r="E44" s="136" t="s">
        <v>337</v>
      </c>
      <c r="F44" s="144">
        <v>74935530</v>
      </c>
    </row>
    <row r="45" spans="1:6">
      <c r="A45" s="135">
        <v>3832</v>
      </c>
      <c r="B45" s="136" t="s">
        <v>495</v>
      </c>
      <c r="C45" s="136" t="s">
        <v>496</v>
      </c>
      <c r="D45" s="136" t="s">
        <v>336</v>
      </c>
      <c r="E45" s="136" t="s">
        <v>337</v>
      </c>
      <c r="F45" s="144">
        <v>74810100</v>
      </c>
    </row>
    <row r="46" spans="1:6">
      <c r="A46" s="135">
        <v>1210</v>
      </c>
      <c r="B46" s="136" t="s">
        <v>343</v>
      </c>
      <c r="C46" s="136" t="s">
        <v>344</v>
      </c>
      <c r="D46" s="136" t="s">
        <v>336</v>
      </c>
      <c r="E46" s="136" t="s">
        <v>337</v>
      </c>
      <c r="F46" s="144">
        <v>74810100</v>
      </c>
    </row>
    <row r="47" spans="1:6">
      <c r="A47" s="135">
        <v>6947</v>
      </c>
      <c r="B47" s="136" t="s">
        <v>614</v>
      </c>
      <c r="C47" s="136" t="s">
        <v>615</v>
      </c>
      <c r="D47" s="136" t="s">
        <v>616</v>
      </c>
      <c r="E47" s="136" t="s">
        <v>337</v>
      </c>
      <c r="F47" s="144">
        <v>72872330</v>
      </c>
    </row>
    <row r="48" spans="1:6">
      <c r="A48" s="135">
        <v>1597</v>
      </c>
      <c r="B48" s="136" t="s">
        <v>338</v>
      </c>
      <c r="C48" s="136" t="s">
        <v>339</v>
      </c>
      <c r="D48" s="136" t="s">
        <v>336</v>
      </c>
      <c r="E48" s="136" t="s">
        <v>337</v>
      </c>
      <c r="F48" s="144">
        <v>74063010</v>
      </c>
    </row>
    <row r="49" spans="1:6">
      <c r="A49" s="135">
        <v>3816</v>
      </c>
      <c r="B49" s="136" t="s">
        <v>490</v>
      </c>
      <c r="C49" s="136" t="s">
        <v>491</v>
      </c>
      <c r="D49" s="136" t="s">
        <v>336</v>
      </c>
      <c r="E49" s="136" t="s">
        <v>337</v>
      </c>
      <c r="F49" s="144">
        <v>74465539</v>
      </c>
    </row>
    <row r="50" spans="1:6">
      <c r="A50" s="135">
        <v>3883</v>
      </c>
      <c r="B50" s="136" t="s">
        <v>334</v>
      </c>
      <c r="C50" s="136" t="s">
        <v>335</v>
      </c>
      <c r="D50" s="136" t="s">
        <v>336</v>
      </c>
      <c r="E50" s="136" t="s">
        <v>337</v>
      </c>
      <c r="F50" s="144">
        <v>74935530</v>
      </c>
    </row>
    <row r="51" spans="1:6">
      <c r="A51" s="135">
        <v>3476</v>
      </c>
      <c r="B51" s="136" t="s">
        <v>360</v>
      </c>
      <c r="C51" s="136" t="s">
        <v>361</v>
      </c>
      <c r="D51" s="136" t="s">
        <v>336</v>
      </c>
      <c r="E51" s="136" t="s">
        <v>337</v>
      </c>
      <c r="F51" s="144">
        <v>74310320</v>
      </c>
    </row>
    <row r="52" spans="1:6">
      <c r="A52" s="135">
        <v>3840</v>
      </c>
      <c r="B52" s="136" t="s">
        <v>489</v>
      </c>
      <c r="C52" s="136" t="s">
        <v>361</v>
      </c>
      <c r="D52" s="136" t="s">
        <v>336</v>
      </c>
      <c r="E52" s="136" t="s">
        <v>337</v>
      </c>
      <c r="F52" s="144">
        <v>74310320</v>
      </c>
    </row>
    <row r="53" spans="1:6">
      <c r="A53" s="135">
        <v>2305</v>
      </c>
      <c r="B53" s="136" t="s">
        <v>383</v>
      </c>
      <c r="C53" s="136" t="s">
        <v>384</v>
      </c>
      <c r="D53" s="136" t="s">
        <v>85</v>
      </c>
      <c r="E53" s="136" t="s">
        <v>86</v>
      </c>
      <c r="F53" s="144">
        <v>30310360</v>
      </c>
    </row>
    <row r="54" spans="1:6">
      <c r="A54" s="135">
        <v>2119</v>
      </c>
      <c r="B54" s="136" t="s">
        <v>403</v>
      </c>
      <c r="C54" s="136" t="s">
        <v>404</v>
      </c>
      <c r="D54" s="136" t="s">
        <v>405</v>
      </c>
      <c r="E54" s="136" t="s">
        <v>86</v>
      </c>
      <c r="F54" s="144">
        <v>33400000</v>
      </c>
    </row>
    <row r="55" spans="1:6">
      <c r="A55" s="135">
        <v>1139</v>
      </c>
      <c r="B55" s="136" t="s">
        <v>94</v>
      </c>
      <c r="C55" s="136" t="s">
        <v>95</v>
      </c>
      <c r="D55" s="136" t="s">
        <v>85</v>
      </c>
      <c r="E55" s="136" t="s">
        <v>86</v>
      </c>
      <c r="F55" s="144">
        <v>30330000</v>
      </c>
    </row>
    <row r="56" spans="1:6">
      <c r="A56" s="135">
        <v>2356</v>
      </c>
      <c r="B56" s="136" t="s">
        <v>90</v>
      </c>
      <c r="C56" s="136" t="s">
        <v>91</v>
      </c>
      <c r="D56" s="136" t="s">
        <v>85</v>
      </c>
      <c r="E56" s="136" t="s">
        <v>86</v>
      </c>
      <c r="F56" s="144">
        <v>31250010</v>
      </c>
    </row>
    <row r="57" spans="1:6">
      <c r="A57" s="135">
        <v>2437</v>
      </c>
      <c r="B57" s="136" t="s">
        <v>411</v>
      </c>
      <c r="C57" s="136" t="s">
        <v>412</v>
      </c>
      <c r="D57" s="136" t="s">
        <v>85</v>
      </c>
      <c r="E57" s="136" t="s">
        <v>86</v>
      </c>
      <c r="F57" s="144">
        <v>30710010</v>
      </c>
    </row>
    <row r="58" spans="1:6">
      <c r="A58" s="135">
        <v>2330</v>
      </c>
      <c r="B58" s="136" t="s">
        <v>396</v>
      </c>
      <c r="C58" s="136" t="s">
        <v>110</v>
      </c>
      <c r="D58" s="136" t="s">
        <v>85</v>
      </c>
      <c r="E58" s="136" t="s">
        <v>86</v>
      </c>
      <c r="F58" s="144">
        <v>30180100</v>
      </c>
    </row>
    <row r="59" spans="1:6">
      <c r="A59" s="135">
        <v>2410</v>
      </c>
      <c r="B59" s="136" t="s">
        <v>416</v>
      </c>
      <c r="C59" s="136" t="s">
        <v>110</v>
      </c>
      <c r="D59" s="136" t="s">
        <v>85</v>
      </c>
      <c r="E59" s="136" t="s">
        <v>86</v>
      </c>
      <c r="F59" s="144">
        <v>30170131</v>
      </c>
    </row>
    <row r="60" spans="1:6">
      <c r="A60" s="135">
        <v>2461</v>
      </c>
      <c r="B60" s="136" t="s">
        <v>385</v>
      </c>
      <c r="C60" s="136" t="s">
        <v>341</v>
      </c>
      <c r="D60" s="136" t="s">
        <v>85</v>
      </c>
      <c r="E60" s="136" t="s">
        <v>86</v>
      </c>
      <c r="F60" s="144">
        <v>303800000</v>
      </c>
    </row>
    <row r="61" spans="1:6">
      <c r="A61" s="135">
        <v>2453</v>
      </c>
      <c r="B61" s="136" t="s">
        <v>391</v>
      </c>
      <c r="C61" s="136" t="s">
        <v>392</v>
      </c>
      <c r="D61" s="136" t="s">
        <v>85</v>
      </c>
      <c r="E61" s="136" t="s">
        <v>86</v>
      </c>
      <c r="F61" s="144">
        <v>30535520</v>
      </c>
    </row>
    <row r="62" spans="1:6">
      <c r="A62" s="135">
        <v>1619</v>
      </c>
      <c r="B62" s="136" t="s">
        <v>92</v>
      </c>
      <c r="C62" s="136" t="s">
        <v>93</v>
      </c>
      <c r="D62" s="136" t="s">
        <v>85</v>
      </c>
      <c r="E62" s="136" t="s">
        <v>86</v>
      </c>
      <c r="F62" s="144">
        <v>31230000</v>
      </c>
    </row>
    <row r="63" spans="1:6">
      <c r="A63" s="135">
        <v>2429</v>
      </c>
      <c r="B63" s="136" t="s">
        <v>393</v>
      </c>
      <c r="C63" s="136" t="s">
        <v>394</v>
      </c>
      <c r="D63" s="136" t="s">
        <v>85</v>
      </c>
      <c r="E63" s="136" t="s">
        <v>86</v>
      </c>
      <c r="F63" s="144">
        <v>30110070</v>
      </c>
    </row>
    <row r="64" spans="1:6">
      <c r="A64" s="135">
        <v>2445</v>
      </c>
      <c r="B64" s="136" t="s">
        <v>386</v>
      </c>
      <c r="C64" s="136" t="s">
        <v>387</v>
      </c>
      <c r="D64" s="136" t="s">
        <v>85</v>
      </c>
      <c r="E64" s="136" t="s">
        <v>86</v>
      </c>
      <c r="F64" s="144">
        <v>30150311</v>
      </c>
    </row>
    <row r="65" spans="1:6">
      <c r="A65" s="135">
        <v>2178</v>
      </c>
      <c r="B65" s="136" t="s">
        <v>395</v>
      </c>
      <c r="C65" s="136" t="s">
        <v>387</v>
      </c>
      <c r="D65" s="136" t="s">
        <v>85</v>
      </c>
      <c r="E65" s="136" t="s">
        <v>86</v>
      </c>
      <c r="F65" s="144">
        <v>30112011</v>
      </c>
    </row>
    <row r="66" spans="1:6">
      <c r="A66" s="135">
        <v>1627</v>
      </c>
      <c r="B66" s="136" t="s">
        <v>369</v>
      </c>
      <c r="C66" s="136" t="s">
        <v>370</v>
      </c>
      <c r="D66" s="136" t="s">
        <v>371</v>
      </c>
      <c r="E66" s="136" t="s">
        <v>86</v>
      </c>
      <c r="F66" s="144">
        <v>36026900</v>
      </c>
    </row>
    <row r="67" spans="1:6">
      <c r="A67" s="135">
        <v>2313</v>
      </c>
      <c r="B67" s="136" t="s">
        <v>397</v>
      </c>
      <c r="C67" s="136" t="s">
        <v>398</v>
      </c>
      <c r="D67" s="136" t="s">
        <v>85</v>
      </c>
      <c r="E67" s="136" t="s">
        <v>86</v>
      </c>
      <c r="F67" s="144">
        <v>30430250</v>
      </c>
    </row>
    <row r="68" spans="1:6">
      <c r="A68" s="135">
        <v>1961</v>
      </c>
      <c r="B68" s="136" t="s">
        <v>151</v>
      </c>
      <c r="C68" s="136" t="s">
        <v>152</v>
      </c>
      <c r="D68" s="136" t="s">
        <v>89</v>
      </c>
      <c r="E68" s="136" t="s">
        <v>86</v>
      </c>
      <c r="F68" s="144">
        <v>31950640</v>
      </c>
    </row>
    <row r="69" spans="1:6">
      <c r="A69" s="135">
        <v>3484</v>
      </c>
      <c r="B69" s="136" t="s">
        <v>206</v>
      </c>
      <c r="C69" s="136" t="s">
        <v>152</v>
      </c>
      <c r="D69" s="136" t="s">
        <v>89</v>
      </c>
      <c r="E69" s="136" t="s">
        <v>86</v>
      </c>
      <c r="F69" s="144">
        <v>32145900</v>
      </c>
    </row>
    <row r="70" spans="1:6">
      <c r="A70" s="135">
        <v>1970</v>
      </c>
      <c r="B70" s="136" t="s">
        <v>406</v>
      </c>
      <c r="C70" s="136" t="s">
        <v>152</v>
      </c>
      <c r="D70" s="136" t="s">
        <v>89</v>
      </c>
      <c r="E70" s="136" t="s">
        <v>86</v>
      </c>
      <c r="F70" s="144">
        <v>32145900</v>
      </c>
    </row>
    <row r="71" spans="1:6">
      <c r="A71" s="135">
        <v>1996</v>
      </c>
      <c r="B71" s="136" t="s">
        <v>413</v>
      </c>
      <c r="C71" s="136" t="s">
        <v>152</v>
      </c>
      <c r="D71" s="136" t="s">
        <v>89</v>
      </c>
      <c r="E71" s="136" t="s">
        <v>86</v>
      </c>
      <c r="F71" s="144">
        <v>32000000</v>
      </c>
    </row>
    <row r="72" spans="1:6">
      <c r="A72" s="135">
        <v>4120</v>
      </c>
      <c r="B72" s="136" t="s">
        <v>662</v>
      </c>
      <c r="C72" s="136" t="s">
        <v>152</v>
      </c>
      <c r="D72" s="136" t="s">
        <v>89</v>
      </c>
      <c r="E72" s="136" t="s">
        <v>86</v>
      </c>
      <c r="F72" s="144">
        <v>32145900</v>
      </c>
    </row>
    <row r="73" spans="1:6">
      <c r="A73" s="135">
        <v>2224</v>
      </c>
      <c r="B73" s="136" t="s">
        <v>399</v>
      </c>
      <c r="C73" s="136" t="s">
        <v>400</v>
      </c>
      <c r="D73" s="136" t="s">
        <v>85</v>
      </c>
      <c r="E73" s="136" t="s">
        <v>86</v>
      </c>
      <c r="F73" s="144">
        <v>30460090</v>
      </c>
    </row>
    <row r="74" spans="1:6">
      <c r="A74" s="135">
        <v>4642</v>
      </c>
      <c r="B74" s="136" t="s">
        <v>551</v>
      </c>
      <c r="C74" s="136" t="s">
        <v>552</v>
      </c>
      <c r="D74" s="136" t="s">
        <v>85</v>
      </c>
      <c r="E74" s="136" t="s">
        <v>86</v>
      </c>
      <c r="F74" s="144">
        <v>31230000</v>
      </c>
    </row>
    <row r="75" spans="1:6">
      <c r="A75" s="135">
        <v>3735</v>
      </c>
      <c r="B75" s="136" t="s">
        <v>672</v>
      </c>
      <c r="C75" s="136" t="s">
        <v>647</v>
      </c>
      <c r="D75" s="136" t="s">
        <v>56</v>
      </c>
      <c r="E75" s="136" t="s">
        <v>86</v>
      </c>
      <c r="F75" s="144">
        <v>210110000</v>
      </c>
    </row>
    <row r="76" spans="1:6">
      <c r="A76" s="135">
        <v>1082</v>
      </c>
      <c r="B76" s="136" t="s">
        <v>87</v>
      </c>
      <c r="C76" s="136" t="s">
        <v>88</v>
      </c>
      <c r="D76" s="136" t="s">
        <v>89</v>
      </c>
      <c r="E76" s="136" t="s">
        <v>86</v>
      </c>
      <c r="F76" s="144">
        <v>32260000</v>
      </c>
    </row>
    <row r="77" spans="1:6">
      <c r="A77" s="135">
        <v>6629</v>
      </c>
      <c r="B77" s="136" t="s">
        <v>83</v>
      </c>
      <c r="C77" s="136" t="s">
        <v>84</v>
      </c>
      <c r="D77" s="136" t="s">
        <v>85</v>
      </c>
      <c r="E77" s="136" t="s">
        <v>86</v>
      </c>
      <c r="F77" s="144">
        <v>30260070</v>
      </c>
    </row>
    <row r="78" spans="1:6">
      <c r="A78" s="135">
        <v>4588</v>
      </c>
      <c r="B78" s="136" t="s">
        <v>610</v>
      </c>
      <c r="C78" s="136" t="s">
        <v>141</v>
      </c>
      <c r="D78" s="136" t="s">
        <v>611</v>
      </c>
      <c r="E78" s="136" t="s">
        <v>86</v>
      </c>
      <c r="F78" s="144">
        <v>38050470</v>
      </c>
    </row>
    <row r="79" spans="1:6">
      <c r="A79" s="135">
        <v>4430</v>
      </c>
      <c r="B79" s="136" t="s">
        <v>763</v>
      </c>
      <c r="C79" s="136" t="s">
        <v>141</v>
      </c>
      <c r="D79" s="136" t="s">
        <v>611</v>
      </c>
      <c r="E79" s="136" t="s">
        <v>86</v>
      </c>
      <c r="F79" s="144">
        <v>38050470</v>
      </c>
    </row>
    <row r="80" spans="1:6">
      <c r="A80" s="135">
        <v>2291</v>
      </c>
      <c r="B80" s="136" t="s">
        <v>414</v>
      </c>
      <c r="C80" s="136" t="s">
        <v>415</v>
      </c>
      <c r="D80" s="136" t="s">
        <v>85</v>
      </c>
      <c r="E80" s="136" t="s">
        <v>86</v>
      </c>
      <c r="F80" s="144">
        <v>30170111</v>
      </c>
    </row>
    <row r="81" spans="1:6">
      <c r="A81" s="135">
        <v>2208</v>
      </c>
      <c r="B81" s="136" t="s">
        <v>409</v>
      </c>
      <c r="C81" s="136" t="s">
        <v>410</v>
      </c>
      <c r="D81" s="136" t="s">
        <v>85</v>
      </c>
      <c r="E81" s="136" t="s">
        <v>86</v>
      </c>
      <c r="F81" s="144">
        <v>31275180</v>
      </c>
    </row>
    <row r="82" spans="1:6">
      <c r="A82" s="135">
        <v>2151</v>
      </c>
      <c r="B82" s="136" t="s">
        <v>381</v>
      </c>
      <c r="C82" s="136" t="s">
        <v>382</v>
      </c>
      <c r="D82" s="136" t="s">
        <v>85</v>
      </c>
      <c r="E82" s="136" t="s">
        <v>86</v>
      </c>
      <c r="F82" s="144">
        <v>30315420</v>
      </c>
    </row>
    <row r="83" spans="1:6">
      <c r="A83" s="135">
        <v>2186</v>
      </c>
      <c r="B83" s="136" t="s">
        <v>417</v>
      </c>
      <c r="C83" s="136" t="s">
        <v>382</v>
      </c>
      <c r="D83" s="136" t="s">
        <v>85</v>
      </c>
      <c r="E83" s="136" t="s">
        <v>86</v>
      </c>
      <c r="F83" s="144">
        <v>30315250</v>
      </c>
    </row>
    <row r="84" spans="1:6">
      <c r="A84" s="135">
        <v>1236</v>
      </c>
      <c r="B84" s="136" t="s">
        <v>760</v>
      </c>
      <c r="C84" s="136" t="s">
        <v>761</v>
      </c>
      <c r="D84" s="136" t="s">
        <v>762</v>
      </c>
      <c r="E84" s="136" t="s">
        <v>86</v>
      </c>
      <c r="F84" s="144">
        <v>38408100</v>
      </c>
    </row>
    <row r="85" spans="1:6">
      <c r="A85" s="135">
        <v>2089</v>
      </c>
      <c r="B85" s="136" t="s">
        <v>265</v>
      </c>
      <c r="C85" s="136" t="s">
        <v>266</v>
      </c>
      <c r="D85" s="136" t="s">
        <v>132</v>
      </c>
      <c r="E85" s="136" t="s">
        <v>267</v>
      </c>
      <c r="F85" s="144">
        <v>79031903</v>
      </c>
    </row>
    <row r="86" spans="1:6">
      <c r="A86" s="135">
        <v>3727</v>
      </c>
      <c r="B86" s="136" t="s">
        <v>526</v>
      </c>
      <c r="C86" s="136" t="s">
        <v>141</v>
      </c>
      <c r="D86" s="136" t="s">
        <v>76</v>
      </c>
      <c r="E86" s="136" t="s">
        <v>267</v>
      </c>
      <c r="F86" s="144">
        <v>72501100</v>
      </c>
    </row>
    <row r="87" spans="1:6">
      <c r="A87" s="135">
        <v>3808</v>
      </c>
      <c r="B87" s="136" t="s">
        <v>372</v>
      </c>
      <c r="C87" s="136" t="s">
        <v>373</v>
      </c>
      <c r="D87" s="136" t="s">
        <v>155</v>
      </c>
      <c r="E87" s="136" t="s">
        <v>42</v>
      </c>
      <c r="F87" s="144">
        <v>58036460</v>
      </c>
    </row>
    <row r="88" spans="1:6">
      <c r="A88" s="135">
        <v>4111</v>
      </c>
      <c r="B88" s="136" t="s">
        <v>153</v>
      </c>
      <c r="C88" s="136" t="s">
        <v>154</v>
      </c>
      <c r="D88" s="136" t="s">
        <v>155</v>
      </c>
      <c r="E88" s="136" t="s">
        <v>42</v>
      </c>
      <c r="F88" s="144">
        <v>58082000</v>
      </c>
    </row>
    <row r="89" spans="1:6">
      <c r="A89" s="135">
        <v>6432</v>
      </c>
      <c r="B89" s="136" t="s">
        <v>39</v>
      </c>
      <c r="C89" s="136" t="s">
        <v>40</v>
      </c>
      <c r="D89" s="136" t="s">
        <v>41</v>
      </c>
      <c r="E89" s="136" t="s">
        <v>42</v>
      </c>
      <c r="F89" s="144">
        <v>58100000</v>
      </c>
    </row>
    <row r="90" spans="1:6">
      <c r="A90" s="135">
        <v>4669</v>
      </c>
      <c r="B90" s="136" t="s">
        <v>516</v>
      </c>
      <c r="C90" s="136" t="s">
        <v>517</v>
      </c>
      <c r="D90" s="136" t="s">
        <v>518</v>
      </c>
      <c r="E90" s="136" t="s">
        <v>42</v>
      </c>
      <c r="F90" s="144">
        <v>58310000</v>
      </c>
    </row>
    <row r="91" spans="1:6">
      <c r="A91" s="135">
        <v>4090</v>
      </c>
      <c r="B91" s="136" t="s">
        <v>684</v>
      </c>
      <c r="C91" s="136" t="s">
        <v>141</v>
      </c>
      <c r="D91" s="136" t="s">
        <v>76</v>
      </c>
      <c r="E91" s="136" t="s">
        <v>42</v>
      </c>
      <c r="F91" s="144">
        <v>72501100</v>
      </c>
    </row>
    <row r="92" spans="1:6">
      <c r="A92" s="135">
        <v>6637</v>
      </c>
      <c r="B92" s="136" t="s">
        <v>258</v>
      </c>
      <c r="C92" s="136" t="s">
        <v>259</v>
      </c>
      <c r="D92" s="136" t="s">
        <v>251</v>
      </c>
      <c r="E92" s="136" t="s">
        <v>252</v>
      </c>
      <c r="F92" s="144">
        <v>50710000</v>
      </c>
    </row>
    <row r="93" spans="1:6">
      <c r="A93" s="135">
        <v>6645</v>
      </c>
      <c r="B93" s="136" t="s">
        <v>249</v>
      </c>
      <c r="C93" s="136" t="s">
        <v>250</v>
      </c>
      <c r="D93" s="136" t="s">
        <v>251</v>
      </c>
      <c r="E93" s="136" t="s">
        <v>252</v>
      </c>
      <c r="F93" s="144">
        <v>51020041</v>
      </c>
    </row>
    <row r="94" spans="1:6">
      <c r="A94" s="135">
        <v>6173</v>
      </c>
      <c r="B94" s="136" t="s">
        <v>650</v>
      </c>
      <c r="C94" s="136" t="s">
        <v>250</v>
      </c>
      <c r="D94" s="136" t="s">
        <v>251</v>
      </c>
      <c r="E94" s="136" t="s">
        <v>252</v>
      </c>
      <c r="F94" s="144">
        <v>51020041</v>
      </c>
    </row>
    <row r="95" spans="1:6">
      <c r="A95" s="135">
        <v>6416</v>
      </c>
      <c r="B95" s="136" t="s">
        <v>299</v>
      </c>
      <c r="C95" s="136" t="s">
        <v>300</v>
      </c>
      <c r="D95" s="136" t="s">
        <v>251</v>
      </c>
      <c r="E95" s="136" t="s">
        <v>252</v>
      </c>
      <c r="F95" s="144">
        <v>51030840</v>
      </c>
    </row>
    <row r="96" spans="1:6">
      <c r="A96" s="135">
        <v>3700</v>
      </c>
      <c r="B96" s="136" t="s">
        <v>639</v>
      </c>
      <c r="C96" s="136" t="s">
        <v>300</v>
      </c>
      <c r="D96" s="136" t="s">
        <v>251</v>
      </c>
      <c r="E96" s="136" t="s">
        <v>252</v>
      </c>
      <c r="F96" s="144">
        <v>51030840</v>
      </c>
    </row>
    <row r="97" spans="1:6">
      <c r="A97" s="135">
        <v>6424</v>
      </c>
      <c r="B97" s="136" t="s">
        <v>651</v>
      </c>
      <c r="C97" s="136" t="s">
        <v>652</v>
      </c>
      <c r="D97" s="136" t="s">
        <v>251</v>
      </c>
      <c r="E97" s="136" t="s">
        <v>252</v>
      </c>
      <c r="F97" s="144">
        <v>52061540</v>
      </c>
    </row>
    <row r="98" spans="1:6">
      <c r="A98" s="135">
        <v>6610</v>
      </c>
      <c r="B98" s="136" t="s">
        <v>600</v>
      </c>
      <c r="C98" s="136" t="s">
        <v>601</v>
      </c>
      <c r="D98" s="136" t="s">
        <v>306</v>
      </c>
      <c r="E98" s="136" t="s">
        <v>252</v>
      </c>
      <c r="F98" s="144">
        <v>54350355</v>
      </c>
    </row>
    <row r="99" spans="1:6">
      <c r="A99" s="135">
        <v>6297</v>
      </c>
      <c r="B99" s="136" t="s">
        <v>304</v>
      </c>
      <c r="C99" s="136" t="s">
        <v>305</v>
      </c>
      <c r="D99" s="136" t="s">
        <v>306</v>
      </c>
      <c r="E99" s="136" t="s">
        <v>252</v>
      </c>
      <c r="F99" s="144">
        <v>54330902</v>
      </c>
    </row>
    <row r="100" spans="1:6">
      <c r="A100" s="135">
        <v>3522</v>
      </c>
      <c r="B100" s="136" t="s">
        <v>456</v>
      </c>
      <c r="C100" s="136" t="s">
        <v>457</v>
      </c>
      <c r="D100" s="136" t="s">
        <v>251</v>
      </c>
      <c r="E100" s="136" t="s">
        <v>252</v>
      </c>
      <c r="F100" s="144">
        <v>50710901</v>
      </c>
    </row>
    <row r="101" spans="1:6">
      <c r="A101" s="135">
        <v>1520</v>
      </c>
      <c r="B101" s="136" t="s">
        <v>653</v>
      </c>
      <c r="C101" s="136" t="s">
        <v>457</v>
      </c>
      <c r="D101" s="136" t="s">
        <v>251</v>
      </c>
      <c r="E101" s="136" t="s">
        <v>252</v>
      </c>
      <c r="F101" s="144">
        <v>50710000</v>
      </c>
    </row>
    <row r="102" spans="1:6">
      <c r="A102" s="135">
        <v>3697</v>
      </c>
      <c r="B102" s="136" t="s">
        <v>685</v>
      </c>
      <c r="C102" s="136" t="s">
        <v>457</v>
      </c>
      <c r="D102" s="136" t="s">
        <v>251</v>
      </c>
      <c r="E102" s="136" t="s">
        <v>252</v>
      </c>
      <c r="F102" s="144">
        <v>50710000</v>
      </c>
    </row>
    <row r="103" spans="1:6">
      <c r="A103" s="135">
        <v>4138</v>
      </c>
      <c r="B103" s="136" t="s">
        <v>452</v>
      </c>
      <c r="C103" s="136" t="s">
        <v>453</v>
      </c>
      <c r="D103" s="136" t="s">
        <v>243</v>
      </c>
      <c r="E103" s="136" t="s">
        <v>240</v>
      </c>
      <c r="F103" s="144">
        <v>80740030</v>
      </c>
    </row>
    <row r="104" spans="1:6">
      <c r="A104" s="135">
        <v>1287</v>
      </c>
      <c r="B104" s="136" t="s">
        <v>374</v>
      </c>
      <c r="C104" s="136" t="s">
        <v>375</v>
      </c>
      <c r="D104" s="136" t="s">
        <v>376</v>
      </c>
      <c r="E104" s="136" t="s">
        <v>240</v>
      </c>
      <c r="F104" s="144">
        <v>86057230</v>
      </c>
    </row>
    <row r="105" spans="1:6">
      <c r="A105" s="135">
        <v>4243</v>
      </c>
      <c r="B105" s="136" t="s">
        <v>521</v>
      </c>
      <c r="C105" s="136" t="s">
        <v>375</v>
      </c>
      <c r="D105" s="136" t="s">
        <v>376</v>
      </c>
      <c r="E105" s="136" t="s">
        <v>240</v>
      </c>
      <c r="F105" s="144">
        <v>86050901</v>
      </c>
    </row>
    <row r="106" spans="1:6">
      <c r="A106" s="135">
        <v>4650</v>
      </c>
      <c r="B106" s="136" t="s">
        <v>472</v>
      </c>
      <c r="C106" s="136" t="s">
        <v>473</v>
      </c>
      <c r="D106" s="136" t="s">
        <v>243</v>
      </c>
      <c r="E106" s="136" t="s">
        <v>240</v>
      </c>
      <c r="F106" s="144">
        <v>80430100</v>
      </c>
    </row>
    <row r="107" spans="1:6">
      <c r="A107" s="135">
        <v>1147</v>
      </c>
      <c r="B107" s="136" t="s">
        <v>241</v>
      </c>
      <c r="C107" s="136" t="s">
        <v>242</v>
      </c>
      <c r="D107" s="136" t="s">
        <v>243</v>
      </c>
      <c r="E107" s="136" t="s">
        <v>240</v>
      </c>
      <c r="F107" s="144">
        <v>81200110</v>
      </c>
    </row>
    <row r="108" spans="1:6">
      <c r="A108" s="135">
        <v>3743</v>
      </c>
      <c r="B108" s="136" t="s">
        <v>692</v>
      </c>
      <c r="C108" s="136" t="s">
        <v>242</v>
      </c>
      <c r="D108" s="136" t="s">
        <v>243</v>
      </c>
      <c r="E108" s="136" t="s">
        <v>240</v>
      </c>
      <c r="F108" s="144">
        <v>81200110</v>
      </c>
    </row>
    <row r="109" spans="1:6">
      <c r="A109" s="135">
        <v>1660</v>
      </c>
      <c r="B109" s="136" t="s">
        <v>244</v>
      </c>
      <c r="C109" s="136" t="s">
        <v>245</v>
      </c>
      <c r="D109" s="136" t="s">
        <v>243</v>
      </c>
      <c r="E109" s="136" t="s">
        <v>240</v>
      </c>
      <c r="F109" s="144">
        <v>80220000</v>
      </c>
    </row>
    <row r="110" spans="1:6">
      <c r="A110" s="135">
        <v>1090</v>
      </c>
      <c r="B110" s="136" t="s">
        <v>237</v>
      </c>
      <c r="C110" s="136" t="s">
        <v>238</v>
      </c>
      <c r="D110" s="136" t="s">
        <v>239</v>
      </c>
      <c r="E110" s="136" t="s">
        <v>240</v>
      </c>
      <c r="F110" s="144">
        <v>83302005</v>
      </c>
    </row>
    <row r="111" spans="1:6">
      <c r="A111" s="135">
        <v>4235</v>
      </c>
      <c r="B111" s="136" t="s">
        <v>465</v>
      </c>
      <c r="C111" s="136" t="s">
        <v>238</v>
      </c>
      <c r="D111" s="136" t="s">
        <v>239</v>
      </c>
      <c r="E111" s="136" t="s">
        <v>240</v>
      </c>
      <c r="F111" s="144">
        <v>83302005</v>
      </c>
    </row>
    <row r="112" spans="1:6">
      <c r="A112" s="135">
        <v>4022</v>
      </c>
      <c r="B112" s="136" t="s">
        <v>470</v>
      </c>
      <c r="C112" s="136" t="s">
        <v>471</v>
      </c>
      <c r="D112" s="136" t="s">
        <v>144</v>
      </c>
      <c r="E112" s="136" t="s">
        <v>57</v>
      </c>
      <c r="F112" s="144">
        <v>25055009</v>
      </c>
    </row>
    <row r="113" spans="1:6">
      <c r="A113" s="135">
        <v>1783</v>
      </c>
      <c r="B113" s="136" t="s">
        <v>671</v>
      </c>
      <c r="C113" s="136" t="s">
        <v>471</v>
      </c>
      <c r="D113" s="136" t="s">
        <v>56</v>
      </c>
      <c r="E113" s="136" t="s">
        <v>57</v>
      </c>
      <c r="F113" s="144">
        <v>25065000</v>
      </c>
    </row>
    <row r="114" spans="1:6">
      <c r="A114" s="135">
        <v>3310</v>
      </c>
      <c r="B114" s="136" t="s">
        <v>121</v>
      </c>
      <c r="C114" s="136" t="s">
        <v>122</v>
      </c>
      <c r="D114" s="136" t="s">
        <v>123</v>
      </c>
      <c r="E114" s="136" t="s">
        <v>57</v>
      </c>
      <c r="F114" s="144">
        <v>24452001</v>
      </c>
    </row>
    <row r="115" spans="1:6">
      <c r="A115" s="135">
        <v>3875</v>
      </c>
      <c r="B115" s="136" t="s">
        <v>438</v>
      </c>
      <c r="C115" s="136" t="s">
        <v>439</v>
      </c>
      <c r="D115" s="136" t="s">
        <v>56</v>
      </c>
      <c r="E115" s="136" t="s">
        <v>57</v>
      </c>
      <c r="F115" s="144">
        <v>22631004</v>
      </c>
    </row>
    <row r="116" spans="1:6">
      <c r="A116" s="135">
        <v>1023</v>
      </c>
      <c r="B116" s="136" t="s">
        <v>670</v>
      </c>
      <c r="C116" s="136" t="s">
        <v>439</v>
      </c>
      <c r="D116" s="136" t="s">
        <v>56</v>
      </c>
      <c r="E116" s="136" t="s">
        <v>57</v>
      </c>
      <c r="F116" s="144">
        <v>22640102</v>
      </c>
    </row>
    <row r="117" spans="1:6">
      <c r="A117" s="135">
        <v>3271</v>
      </c>
      <c r="B117" s="136" t="s">
        <v>131</v>
      </c>
      <c r="C117" s="136" t="s">
        <v>132</v>
      </c>
      <c r="D117" s="136" t="s">
        <v>56</v>
      </c>
      <c r="E117" s="136" t="s">
        <v>57</v>
      </c>
      <c r="F117" s="144">
        <v>23085660</v>
      </c>
    </row>
    <row r="118" spans="1:6">
      <c r="A118" s="135">
        <v>3140</v>
      </c>
      <c r="B118" s="136" t="s">
        <v>451</v>
      </c>
      <c r="C118" s="136" t="s">
        <v>132</v>
      </c>
      <c r="D118" s="136" t="s">
        <v>56</v>
      </c>
      <c r="E118" s="136" t="s">
        <v>57</v>
      </c>
      <c r="F118" s="144">
        <v>21070480</v>
      </c>
    </row>
    <row r="119" spans="1:6">
      <c r="A119" s="135">
        <v>1856</v>
      </c>
      <c r="B119" s="136" t="s">
        <v>126</v>
      </c>
      <c r="C119" s="136" t="s">
        <v>110</v>
      </c>
      <c r="D119" s="136" t="s">
        <v>127</v>
      </c>
      <c r="E119" s="136" t="s">
        <v>57</v>
      </c>
      <c r="F119" s="144">
        <v>26113420</v>
      </c>
    </row>
    <row r="120" spans="1:6">
      <c r="A120" s="135">
        <v>4057</v>
      </c>
      <c r="B120" s="136" t="s">
        <v>446</v>
      </c>
      <c r="C120" s="136" t="s">
        <v>110</v>
      </c>
      <c r="D120" s="136" t="s">
        <v>127</v>
      </c>
      <c r="E120" s="136" t="s">
        <v>57</v>
      </c>
      <c r="F120" s="144">
        <v>26113420</v>
      </c>
    </row>
    <row r="121" spans="1:6">
      <c r="A121" s="135">
        <v>4030</v>
      </c>
      <c r="B121" s="136" t="s">
        <v>536</v>
      </c>
      <c r="C121" s="136" t="s">
        <v>110</v>
      </c>
      <c r="D121" s="136" t="s">
        <v>537</v>
      </c>
      <c r="E121" s="136" t="s">
        <v>57</v>
      </c>
      <c r="F121" s="144">
        <v>24020000</v>
      </c>
    </row>
    <row r="122" spans="1:6">
      <c r="A122" s="135">
        <v>3263</v>
      </c>
      <c r="B122" s="136" t="s">
        <v>683</v>
      </c>
      <c r="C122" s="136" t="s">
        <v>110</v>
      </c>
      <c r="D122" s="136" t="s">
        <v>537</v>
      </c>
      <c r="E122" s="136" t="s">
        <v>57</v>
      </c>
      <c r="F122" s="144">
        <v>24020000</v>
      </c>
    </row>
    <row r="123" spans="1:6">
      <c r="A123" s="135">
        <v>2828</v>
      </c>
      <c r="B123" s="136" t="s">
        <v>641</v>
      </c>
      <c r="C123" s="136" t="s">
        <v>642</v>
      </c>
      <c r="D123" s="136" t="s">
        <v>56</v>
      </c>
      <c r="E123" s="136" t="s">
        <v>57</v>
      </c>
      <c r="F123" s="144">
        <v>21530010</v>
      </c>
    </row>
    <row r="124" spans="1:6">
      <c r="A124" s="135">
        <v>3000</v>
      </c>
      <c r="B124" s="136" t="s">
        <v>248</v>
      </c>
      <c r="C124" s="136" t="s">
        <v>144</v>
      </c>
      <c r="D124" s="136" t="s">
        <v>56</v>
      </c>
      <c r="E124" s="136" t="s">
        <v>57</v>
      </c>
      <c r="F124" s="144">
        <v>25071180</v>
      </c>
    </row>
    <row r="125" spans="1:6">
      <c r="A125" s="135">
        <v>3360</v>
      </c>
      <c r="B125" s="136" t="s">
        <v>591</v>
      </c>
      <c r="C125" s="136" t="s">
        <v>144</v>
      </c>
      <c r="D125" s="136" t="s">
        <v>56</v>
      </c>
      <c r="E125" s="136" t="s">
        <v>57</v>
      </c>
      <c r="F125" s="144">
        <v>25020140</v>
      </c>
    </row>
    <row r="126" spans="1:6">
      <c r="A126" s="135">
        <v>1112</v>
      </c>
      <c r="B126" s="136" t="s">
        <v>677</v>
      </c>
      <c r="C126" s="136" t="s">
        <v>678</v>
      </c>
      <c r="D126" s="136" t="s">
        <v>56</v>
      </c>
      <c r="E126" s="136" t="s">
        <v>57</v>
      </c>
      <c r="F126" s="144">
        <v>20771004</v>
      </c>
    </row>
    <row r="127" spans="1:6">
      <c r="A127" s="135">
        <v>3158</v>
      </c>
      <c r="B127" s="136" t="s">
        <v>654</v>
      </c>
      <c r="C127" s="136" t="s">
        <v>655</v>
      </c>
      <c r="D127" s="136" t="s">
        <v>56</v>
      </c>
      <c r="E127" s="136" t="s">
        <v>57</v>
      </c>
      <c r="F127" s="144">
        <v>21070480</v>
      </c>
    </row>
    <row r="128" spans="1:6">
      <c r="A128" s="135">
        <v>1872</v>
      </c>
      <c r="B128" s="136" t="s">
        <v>170</v>
      </c>
      <c r="C128" s="136" t="s">
        <v>171</v>
      </c>
      <c r="D128" s="136" t="s">
        <v>56</v>
      </c>
      <c r="E128" s="136" t="s">
        <v>57</v>
      </c>
      <c r="F128" s="144">
        <v>21660000</v>
      </c>
    </row>
    <row r="129" spans="1:6">
      <c r="A129" s="135">
        <v>3859</v>
      </c>
      <c r="B129" s="136" t="s">
        <v>492</v>
      </c>
      <c r="C129" s="136" t="s">
        <v>171</v>
      </c>
      <c r="D129" s="136" t="s">
        <v>56</v>
      </c>
      <c r="E129" s="136" t="s">
        <v>57</v>
      </c>
      <c r="F129" s="144">
        <v>21660000</v>
      </c>
    </row>
    <row r="130" spans="1:6">
      <c r="A130" s="135">
        <v>2810</v>
      </c>
      <c r="B130" s="136" t="s">
        <v>666</v>
      </c>
      <c r="C130" s="136" t="s">
        <v>667</v>
      </c>
      <c r="D130" s="136" t="s">
        <v>56</v>
      </c>
      <c r="E130" s="136" t="s">
        <v>57</v>
      </c>
      <c r="F130" s="144">
        <v>20766720</v>
      </c>
    </row>
    <row r="131" spans="1:6">
      <c r="A131" s="135">
        <v>4065</v>
      </c>
      <c r="B131" s="136" t="s">
        <v>582</v>
      </c>
      <c r="C131" s="136" t="s">
        <v>583</v>
      </c>
      <c r="D131" s="136" t="s">
        <v>56</v>
      </c>
      <c r="E131" s="136" t="s">
        <v>57</v>
      </c>
      <c r="F131" s="144">
        <v>21750000</v>
      </c>
    </row>
    <row r="132" spans="1:6">
      <c r="A132" s="135">
        <v>1449</v>
      </c>
      <c r="B132" s="136" t="s">
        <v>673</v>
      </c>
      <c r="C132" s="136" t="s">
        <v>674</v>
      </c>
      <c r="D132" s="136" t="s">
        <v>56</v>
      </c>
      <c r="E132" s="136" t="s">
        <v>57</v>
      </c>
      <c r="F132" s="144">
        <v>21740000</v>
      </c>
    </row>
    <row r="133" spans="1:6">
      <c r="A133" s="135">
        <v>3786</v>
      </c>
      <c r="B133" s="136" t="s">
        <v>142</v>
      </c>
      <c r="C133" s="136" t="s">
        <v>143</v>
      </c>
      <c r="D133" s="136" t="s">
        <v>144</v>
      </c>
      <c r="E133" s="136" t="s">
        <v>57</v>
      </c>
      <c r="F133" s="144">
        <v>25085370</v>
      </c>
    </row>
    <row r="134" spans="1:6">
      <c r="A134" s="135">
        <v>3794</v>
      </c>
      <c r="B134" s="136" t="s">
        <v>590</v>
      </c>
      <c r="C134" s="136" t="s">
        <v>143</v>
      </c>
      <c r="D134" s="136" t="s">
        <v>144</v>
      </c>
      <c r="E134" s="136" t="s">
        <v>57</v>
      </c>
      <c r="F134" s="144">
        <v>25085370</v>
      </c>
    </row>
    <row r="135" spans="1:6">
      <c r="A135" s="135">
        <v>2844</v>
      </c>
      <c r="B135" s="136" t="s">
        <v>679</v>
      </c>
      <c r="C135" s="136" t="s">
        <v>680</v>
      </c>
      <c r="D135" s="136" t="s">
        <v>56</v>
      </c>
      <c r="E135" s="136" t="s">
        <v>57</v>
      </c>
      <c r="F135" s="144">
        <v>21360201</v>
      </c>
    </row>
    <row r="136" spans="1:6">
      <c r="A136" s="135">
        <v>4049</v>
      </c>
      <c r="B136" s="136" t="s">
        <v>531</v>
      </c>
      <c r="C136" s="136" t="s">
        <v>532</v>
      </c>
      <c r="D136" s="136" t="s">
        <v>187</v>
      </c>
      <c r="E136" s="136" t="s">
        <v>57</v>
      </c>
      <c r="F136" s="144">
        <v>26220110</v>
      </c>
    </row>
    <row r="137" spans="1:6">
      <c r="A137" s="135">
        <v>6203</v>
      </c>
      <c r="B137" s="136" t="s">
        <v>54</v>
      </c>
      <c r="C137" s="136" t="s">
        <v>55</v>
      </c>
      <c r="D137" s="136" t="s">
        <v>56</v>
      </c>
      <c r="E137" s="136" t="s">
        <v>57</v>
      </c>
      <c r="F137" s="144">
        <v>21220110</v>
      </c>
    </row>
    <row r="138" spans="1:6">
      <c r="A138" s="135">
        <v>1317</v>
      </c>
      <c r="B138" s="136" t="s">
        <v>675</v>
      </c>
      <c r="C138" s="136" t="s">
        <v>676</v>
      </c>
      <c r="D138" s="136" t="s">
        <v>123</v>
      </c>
      <c r="E138" s="136" t="s">
        <v>57</v>
      </c>
      <c r="F138" s="144">
        <v>24425000</v>
      </c>
    </row>
    <row r="139" spans="1:6">
      <c r="A139" s="135">
        <v>1821</v>
      </c>
      <c r="B139" s="136" t="s">
        <v>422</v>
      </c>
      <c r="C139" s="136" t="s">
        <v>423</v>
      </c>
      <c r="D139" s="136" t="s">
        <v>187</v>
      </c>
      <c r="E139" s="136" t="s">
        <v>57</v>
      </c>
      <c r="F139" s="144">
        <v>26220110</v>
      </c>
    </row>
    <row r="140" spans="1:6">
      <c r="A140" s="135">
        <v>2933</v>
      </c>
      <c r="B140" s="136" t="s">
        <v>186</v>
      </c>
      <c r="C140" s="136" t="s">
        <v>187</v>
      </c>
      <c r="D140" s="136" t="s">
        <v>56</v>
      </c>
      <c r="E140" s="136" t="s">
        <v>57</v>
      </c>
      <c r="F140" s="144">
        <v>26221030</v>
      </c>
    </row>
    <row r="141" spans="1:6">
      <c r="A141" s="135">
        <v>3042</v>
      </c>
      <c r="B141" s="136" t="s">
        <v>193</v>
      </c>
      <c r="C141" s="136" t="s">
        <v>194</v>
      </c>
      <c r="D141" s="136" t="s">
        <v>56</v>
      </c>
      <c r="E141" s="136" t="s">
        <v>57</v>
      </c>
      <c r="F141" s="144">
        <v>21060070</v>
      </c>
    </row>
    <row r="142" spans="1:6">
      <c r="A142" s="135">
        <v>2801</v>
      </c>
      <c r="B142" s="136" t="s">
        <v>688</v>
      </c>
      <c r="C142" s="136" t="s">
        <v>689</v>
      </c>
      <c r="D142" s="136" t="s">
        <v>56</v>
      </c>
      <c r="E142" s="136" t="s">
        <v>57</v>
      </c>
      <c r="F142" s="144">
        <v>21250450</v>
      </c>
    </row>
    <row r="143" spans="1:6">
      <c r="A143" s="135">
        <v>4014</v>
      </c>
      <c r="B143" s="136" t="s">
        <v>522</v>
      </c>
      <c r="C143" s="136" t="s">
        <v>523</v>
      </c>
      <c r="D143" s="136" t="s">
        <v>123</v>
      </c>
      <c r="E143" s="136" t="s">
        <v>57</v>
      </c>
      <c r="F143" s="144">
        <v>24425000</v>
      </c>
    </row>
    <row r="144" spans="1:6">
      <c r="A144" s="135">
        <v>1910</v>
      </c>
      <c r="B144" s="136" t="s">
        <v>646</v>
      </c>
      <c r="C144" s="136" t="s">
        <v>647</v>
      </c>
      <c r="D144" s="136" t="s">
        <v>648</v>
      </c>
      <c r="E144" s="136" t="s">
        <v>57</v>
      </c>
      <c r="F144" s="144">
        <v>21011010</v>
      </c>
    </row>
    <row r="145" spans="1:6">
      <c r="A145" s="135">
        <v>3409</v>
      </c>
      <c r="B145" s="136" t="s">
        <v>697</v>
      </c>
      <c r="C145" s="136" t="s">
        <v>647</v>
      </c>
      <c r="D145" s="136" t="s">
        <v>56</v>
      </c>
      <c r="E145" s="136" t="s">
        <v>57</v>
      </c>
      <c r="F145" s="144">
        <v>21070480</v>
      </c>
    </row>
    <row r="146" spans="1:6">
      <c r="A146" s="135">
        <v>2798</v>
      </c>
      <c r="B146" s="136" t="s">
        <v>706</v>
      </c>
      <c r="C146" s="136" t="s">
        <v>647</v>
      </c>
      <c r="D146" s="136" t="s">
        <v>56</v>
      </c>
      <c r="E146" s="136" t="s">
        <v>57</v>
      </c>
      <c r="F146" s="144">
        <v>21070480</v>
      </c>
    </row>
    <row r="147" spans="1:6">
      <c r="A147" s="135">
        <v>3182</v>
      </c>
      <c r="B147" s="136" t="s">
        <v>156</v>
      </c>
      <c r="C147" s="136" t="s">
        <v>157</v>
      </c>
      <c r="D147" s="136" t="s">
        <v>56</v>
      </c>
      <c r="E147" s="136" t="s">
        <v>57</v>
      </c>
      <c r="F147" s="144">
        <v>23360000</v>
      </c>
    </row>
    <row r="148" spans="1:6">
      <c r="A148" s="135">
        <v>3034</v>
      </c>
      <c r="B148" s="136" t="s">
        <v>695</v>
      </c>
      <c r="C148" s="136" t="s">
        <v>696</v>
      </c>
      <c r="D148" s="136" t="s">
        <v>56</v>
      </c>
      <c r="E148" s="136" t="s">
        <v>57</v>
      </c>
      <c r="F148" s="144">
        <v>21710160</v>
      </c>
    </row>
    <row r="149" spans="1:6">
      <c r="A149" s="135">
        <v>2925</v>
      </c>
      <c r="B149" s="136" t="s">
        <v>223</v>
      </c>
      <c r="C149" s="136" t="s">
        <v>224</v>
      </c>
      <c r="D149" s="136" t="s">
        <v>56</v>
      </c>
      <c r="E149" s="136" t="s">
        <v>57</v>
      </c>
      <c r="F149" s="144">
        <v>20520054</v>
      </c>
    </row>
    <row r="150" spans="1:6">
      <c r="A150" s="135">
        <v>3069</v>
      </c>
      <c r="B150" s="136" t="s">
        <v>698</v>
      </c>
      <c r="C150" s="136" t="s">
        <v>699</v>
      </c>
      <c r="D150" s="136" t="s">
        <v>56</v>
      </c>
      <c r="E150" s="136" t="s">
        <v>57</v>
      </c>
      <c r="F150" s="144">
        <v>23550000</v>
      </c>
    </row>
    <row r="151" spans="1:6">
      <c r="A151" s="135">
        <v>3336</v>
      </c>
      <c r="B151" s="136" t="s">
        <v>707</v>
      </c>
      <c r="C151" s="136" t="s">
        <v>699</v>
      </c>
      <c r="D151" s="136" t="s">
        <v>56</v>
      </c>
      <c r="E151" s="136" t="s">
        <v>57</v>
      </c>
      <c r="F151" s="144">
        <v>23515010</v>
      </c>
    </row>
    <row r="152" spans="1:6">
      <c r="A152" s="135">
        <v>3492</v>
      </c>
      <c r="B152" s="136" t="s">
        <v>212</v>
      </c>
      <c r="C152" s="136" t="s">
        <v>213</v>
      </c>
      <c r="D152" s="136" t="s">
        <v>214</v>
      </c>
      <c r="E152" s="136" t="s">
        <v>57</v>
      </c>
      <c r="F152" s="144">
        <v>25581330</v>
      </c>
    </row>
    <row r="153" spans="1:6">
      <c r="A153" s="135">
        <v>3867</v>
      </c>
      <c r="B153" s="136" t="s">
        <v>430</v>
      </c>
      <c r="C153" s="136" t="s">
        <v>431</v>
      </c>
      <c r="D153" s="136" t="s">
        <v>56</v>
      </c>
      <c r="E153" s="136" t="s">
        <v>57</v>
      </c>
      <c r="F153" s="144">
        <v>21210000</v>
      </c>
    </row>
    <row r="154" spans="1:6">
      <c r="A154" s="135">
        <v>1309</v>
      </c>
      <c r="B154" s="136" t="s">
        <v>668</v>
      </c>
      <c r="C154" s="136" t="s">
        <v>669</v>
      </c>
      <c r="D154" s="136" t="s">
        <v>56</v>
      </c>
      <c r="E154" s="136" t="s">
        <v>57</v>
      </c>
      <c r="F154" s="144">
        <v>21210000</v>
      </c>
    </row>
    <row r="155" spans="1:6">
      <c r="A155" s="135">
        <v>2950</v>
      </c>
      <c r="B155" s="136" t="s">
        <v>260</v>
      </c>
      <c r="C155" s="136" t="s">
        <v>261</v>
      </c>
      <c r="D155" s="136" t="s">
        <v>56</v>
      </c>
      <c r="E155" s="136" t="s">
        <v>57</v>
      </c>
      <c r="F155" s="144">
        <v>212356000</v>
      </c>
    </row>
    <row r="156" spans="1:6">
      <c r="A156" s="135">
        <v>6190</v>
      </c>
      <c r="B156" s="136" t="s">
        <v>289</v>
      </c>
      <c r="C156" s="136" t="s">
        <v>290</v>
      </c>
      <c r="D156" s="136" t="s">
        <v>291</v>
      </c>
      <c r="E156" s="136" t="s">
        <v>53</v>
      </c>
      <c r="F156" s="144">
        <v>59066180</v>
      </c>
    </row>
    <row r="157" spans="1:6">
      <c r="A157" s="135">
        <v>1600</v>
      </c>
      <c r="B157" s="136" t="s">
        <v>424</v>
      </c>
      <c r="C157" s="136" t="s">
        <v>425</v>
      </c>
      <c r="D157" s="136" t="s">
        <v>291</v>
      </c>
      <c r="E157" s="136" t="s">
        <v>53</v>
      </c>
      <c r="F157" s="144">
        <v>59037155</v>
      </c>
    </row>
    <row r="158" spans="1:6">
      <c r="A158" s="135">
        <v>3751</v>
      </c>
      <c r="B158" s="136" t="s">
        <v>658</v>
      </c>
      <c r="C158" s="136" t="s">
        <v>425</v>
      </c>
      <c r="D158" s="136" t="s">
        <v>291</v>
      </c>
      <c r="E158" s="136" t="s">
        <v>53</v>
      </c>
      <c r="F158" s="144">
        <v>59063904</v>
      </c>
    </row>
    <row r="159" spans="1:6">
      <c r="A159" s="135">
        <v>6254</v>
      </c>
      <c r="B159" s="136" t="s">
        <v>50</v>
      </c>
      <c r="C159" s="136" t="s">
        <v>51</v>
      </c>
      <c r="D159" s="136" t="s">
        <v>52</v>
      </c>
      <c r="E159" s="136" t="s">
        <v>53</v>
      </c>
      <c r="F159" s="144">
        <v>59600000</v>
      </c>
    </row>
    <row r="160" spans="1:6">
      <c r="A160" s="135">
        <v>4189</v>
      </c>
      <c r="B160" s="136" t="s">
        <v>426</v>
      </c>
      <c r="C160" s="136" t="s">
        <v>427</v>
      </c>
      <c r="D160" s="136" t="s">
        <v>291</v>
      </c>
      <c r="E160" s="136" t="s">
        <v>53</v>
      </c>
      <c r="F160" s="144">
        <v>59108200</v>
      </c>
    </row>
    <row r="161" spans="1:6">
      <c r="A161" s="135">
        <v>4367</v>
      </c>
      <c r="B161" s="136" t="s">
        <v>535</v>
      </c>
      <c r="C161" s="136" t="s">
        <v>427</v>
      </c>
      <c r="D161" s="136" t="s">
        <v>291</v>
      </c>
      <c r="E161" s="136" t="s">
        <v>53</v>
      </c>
      <c r="F161" s="144">
        <v>59066270</v>
      </c>
    </row>
    <row r="162" spans="1:6">
      <c r="A162" s="135">
        <v>1414</v>
      </c>
      <c r="B162" s="136" t="s">
        <v>158</v>
      </c>
      <c r="C162" s="136" t="s">
        <v>159</v>
      </c>
      <c r="D162" s="136" t="s">
        <v>160</v>
      </c>
      <c r="E162" s="136" t="s">
        <v>161</v>
      </c>
      <c r="F162" s="144">
        <v>932700000</v>
      </c>
    </row>
    <row r="163" spans="1:6">
      <c r="A163" s="135">
        <v>4960</v>
      </c>
      <c r="B163" s="136" t="s">
        <v>497</v>
      </c>
      <c r="C163" s="136" t="s">
        <v>110</v>
      </c>
      <c r="D163" s="136" t="s">
        <v>356</v>
      </c>
      <c r="E163" s="136" t="s">
        <v>161</v>
      </c>
      <c r="F163" s="144">
        <v>94000000</v>
      </c>
    </row>
    <row r="164" spans="1:6">
      <c r="A164" s="135">
        <v>4863</v>
      </c>
      <c r="B164" s="136" t="s">
        <v>721</v>
      </c>
      <c r="C164" s="136" t="s">
        <v>110</v>
      </c>
      <c r="D164" s="136" t="s">
        <v>141</v>
      </c>
      <c r="E164" s="136" t="s">
        <v>161</v>
      </c>
      <c r="F164" s="144">
        <v>97010422</v>
      </c>
    </row>
    <row r="165" spans="1:6">
      <c r="A165" s="135">
        <v>4910</v>
      </c>
      <c r="B165" s="136" t="s">
        <v>354</v>
      </c>
      <c r="C165" s="136" t="s">
        <v>355</v>
      </c>
      <c r="D165" s="136" t="s">
        <v>356</v>
      </c>
      <c r="E165" s="136" t="s">
        <v>161</v>
      </c>
      <c r="F165" s="144">
        <v>94030000</v>
      </c>
    </row>
    <row r="166" spans="1:6">
      <c r="A166" s="135">
        <v>4324</v>
      </c>
      <c r="B166" s="136" t="s">
        <v>483</v>
      </c>
      <c r="C166" s="136" t="s">
        <v>484</v>
      </c>
      <c r="D166" s="136" t="s">
        <v>476</v>
      </c>
      <c r="E166" s="136" t="s">
        <v>161</v>
      </c>
      <c r="F166" s="144">
        <v>91900000</v>
      </c>
    </row>
    <row r="167" spans="1:6">
      <c r="A167" s="135">
        <v>1406</v>
      </c>
      <c r="B167" s="136" t="s">
        <v>246</v>
      </c>
      <c r="C167" s="136" t="s">
        <v>154</v>
      </c>
      <c r="D167" s="136" t="s">
        <v>247</v>
      </c>
      <c r="E167" s="136" t="s">
        <v>161</v>
      </c>
      <c r="F167" s="144">
        <v>95010550</v>
      </c>
    </row>
    <row r="168" spans="1:6">
      <c r="A168" s="135">
        <v>1481</v>
      </c>
      <c r="B168" s="136" t="s">
        <v>419</v>
      </c>
      <c r="C168" s="136" t="s">
        <v>420</v>
      </c>
      <c r="D168" s="136" t="s">
        <v>421</v>
      </c>
      <c r="E168" s="136" t="s">
        <v>161</v>
      </c>
      <c r="F168" s="144">
        <v>93320020</v>
      </c>
    </row>
    <row r="169" spans="1:6">
      <c r="A169" s="135">
        <v>4316</v>
      </c>
      <c r="B169" s="136" t="s">
        <v>612</v>
      </c>
      <c r="C169" s="136" t="s">
        <v>613</v>
      </c>
      <c r="D169" s="136" t="s">
        <v>476</v>
      </c>
      <c r="E169" s="136" t="s">
        <v>161</v>
      </c>
      <c r="F169" s="144">
        <v>91530000</v>
      </c>
    </row>
    <row r="170" spans="1:6">
      <c r="A170" s="135">
        <v>4880</v>
      </c>
      <c r="B170" s="136" t="s">
        <v>503</v>
      </c>
      <c r="C170" s="136" t="s">
        <v>504</v>
      </c>
      <c r="D170" s="136" t="s">
        <v>476</v>
      </c>
      <c r="E170" s="136" t="s">
        <v>161</v>
      </c>
      <c r="F170" s="144">
        <v>91060591</v>
      </c>
    </row>
    <row r="171" spans="1:6">
      <c r="A171" s="135">
        <v>1503</v>
      </c>
      <c r="B171" s="136" t="s">
        <v>188</v>
      </c>
      <c r="C171" s="136" t="s">
        <v>189</v>
      </c>
      <c r="D171" s="136" t="s">
        <v>190</v>
      </c>
      <c r="E171" s="136" t="s">
        <v>161</v>
      </c>
      <c r="F171" s="144">
        <v>92310300</v>
      </c>
    </row>
    <row r="172" spans="1:6">
      <c r="A172" s="135">
        <v>4308</v>
      </c>
      <c r="B172" s="136" t="s">
        <v>477</v>
      </c>
      <c r="C172" s="136" t="s">
        <v>478</v>
      </c>
      <c r="D172" s="136" t="s">
        <v>476</v>
      </c>
      <c r="E172" s="136" t="s">
        <v>161</v>
      </c>
      <c r="F172" s="144">
        <v>90150005</v>
      </c>
    </row>
    <row r="173" spans="1:6">
      <c r="A173" s="135">
        <v>4332</v>
      </c>
      <c r="B173" s="136" t="s">
        <v>474</v>
      </c>
      <c r="C173" s="136" t="s">
        <v>475</v>
      </c>
      <c r="D173" s="136" t="s">
        <v>476</v>
      </c>
      <c r="E173" s="136" t="s">
        <v>161</v>
      </c>
      <c r="F173" s="144">
        <v>90230010</v>
      </c>
    </row>
    <row r="174" spans="1:6">
      <c r="A174" s="135">
        <v>1074</v>
      </c>
      <c r="B174" s="136" t="s">
        <v>538</v>
      </c>
      <c r="C174" s="136" t="s">
        <v>539</v>
      </c>
      <c r="D174" s="136" t="s">
        <v>476</v>
      </c>
      <c r="E174" s="136" t="s">
        <v>161</v>
      </c>
      <c r="F174" s="144">
        <v>9153010</v>
      </c>
    </row>
    <row r="175" spans="1:6">
      <c r="A175" s="135">
        <v>3646</v>
      </c>
      <c r="B175" s="136" t="s">
        <v>686</v>
      </c>
      <c r="C175" s="136" t="s">
        <v>687</v>
      </c>
      <c r="D175" s="136" t="s">
        <v>476</v>
      </c>
      <c r="E175" s="136" t="s">
        <v>161</v>
      </c>
      <c r="F175" s="144">
        <v>9153010</v>
      </c>
    </row>
    <row r="176" spans="1:6">
      <c r="A176" s="135">
        <v>1791</v>
      </c>
      <c r="B176" s="136" t="s">
        <v>543</v>
      </c>
      <c r="C176" s="136" t="s">
        <v>544</v>
      </c>
      <c r="D176" s="136" t="s">
        <v>476</v>
      </c>
      <c r="E176" s="136" t="s">
        <v>161</v>
      </c>
      <c r="F176" s="144">
        <v>90520003</v>
      </c>
    </row>
    <row r="177" spans="1:6">
      <c r="A177" s="135">
        <v>4294</v>
      </c>
      <c r="B177" s="136" t="s">
        <v>524</v>
      </c>
      <c r="C177" s="136" t="s">
        <v>525</v>
      </c>
      <c r="D177" s="136" t="s">
        <v>476</v>
      </c>
      <c r="E177" s="136" t="s">
        <v>161</v>
      </c>
      <c r="F177" s="144">
        <v>91310003</v>
      </c>
    </row>
    <row r="178" spans="1:6">
      <c r="A178" s="135">
        <v>4952</v>
      </c>
      <c r="B178" s="136" t="s">
        <v>565</v>
      </c>
      <c r="C178" s="136" t="s">
        <v>566</v>
      </c>
      <c r="D178" s="136" t="s">
        <v>476</v>
      </c>
      <c r="E178" s="136" t="s">
        <v>161</v>
      </c>
      <c r="F178" s="144">
        <v>91110581</v>
      </c>
    </row>
    <row r="179" spans="1:6">
      <c r="A179" s="135">
        <v>4618</v>
      </c>
      <c r="B179" s="136" t="s">
        <v>603</v>
      </c>
      <c r="C179" s="136" t="s">
        <v>604</v>
      </c>
      <c r="D179" s="136" t="s">
        <v>160</v>
      </c>
      <c r="E179" s="136" t="s">
        <v>161</v>
      </c>
      <c r="F179" s="144">
        <v>93270000</v>
      </c>
    </row>
    <row r="180" spans="1:6">
      <c r="A180" s="135">
        <v>6351</v>
      </c>
      <c r="B180" s="136" t="s">
        <v>700</v>
      </c>
      <c r="C180" s="136" t="s">
        <v>701</v>
      </c>
      <c r="D180" s="136" t="s">
        <v>702</v>
      </c>
      <c r="E180" s="136" t="s">
        <v>703</v>
      </c>
      <c r="F180" s="144">
        <v>49082110</v>
      </c>
    </row>
    <row r="181" spans="1:6">
      <c r="A181" s="135">
        <v>3948</v>
      </c>
      <c r="B181" s="136" t="s">
        <v>111</v>
      </c>
      <c r="C181" s="136" t="s">
        <v>112</v>
      </c>
      <c r="D181" s="136" t="s">
        <v>113</v>
      </c>
      <c r="E181" s="136" t="s">
        <v>38</v>
      </c>
      <c r="F181" s="144">
        <v>11025200</v>
      </c>
    </row>
    <row r="182" spans="1:6">
      <c r="A182" s="135">
        <v>6068</v>
      </c>
      <c r="B182" s="136" t="s">
        <v>631</v>
      </c>
      <c r="C182" s="136" t="s">
        <v>632</v>
      </c>
      <c r="D182" s="136" t="s">
        <v>460</v>
      </c>
      <c r="E182" s="136" t="s">
        <v>38</v>
      </c>
      <c r="F182" s="144">
        <v>9751000</v>
      </c>
    </row>
    <row r="183" spans="1:6">
      <c r="A183" s="135">
        <v>5096</v>
      </c>
      <c r="B183" s="136" t="s">
        <v>307</v>
      </c>
      <c r="C183" s="136" t="s">
        <v>308</v>
      </c>
      <c r="D183" s="136" t="s">
        <v>309</v>
      </c>
      <c r="E183" s="136" t="s">
        <v>38</v>
      </c>
      <c r="F183" s="144">
        <v>13485342</v>
      </c>
    </row>
    <row r="184" spans="1:6">
      <c r="A184" s="135">
        <v>4200</v>
      </c>
      <c r="B184" s="136" t="s">
        <v>755</v>
      </c>
      <c r="C184" s="136" t="s">
        <v>756</v>
      </c>
      <c r="D184" s="136" t="s">
        <v>232</v>
      </c>
      <c r="E184" s="136" t="s">
        <v>38</v>
      </c>
      <c r="F184" s="144">
        <v>12040000</v>
      </c>
    </row>
    <row r="185" spans="1:6">
      <c r="A185" s="135">
        <v>6092</v>
      </c>
      <c r="B185" s="136" t="s">
        <v>634</v>
      </c>
      <c r="C185" s="136" t="s">
        <v>635</v>
      </c>
      <c r="D185" s="136" t="s">
        <v>564</v>
      </c>
      <c r="E185" s="136" t="s">
        <v>38</v>
      </c>
      <c r="F185" s="144">
        <v>9572300</v>
      </c>
    </row>
    <row r="186" spans="1:6">
      <c r="A186" s="135">
        <v>2011</v>
      </c>
      <c r="B186" s="136" t="s">
        <v>278</v>
      </c>
      <c r="C186" s="136" t="s">
        <v>279</v>
      </c>
      <c r="D186" s="136" t="s">
        <v>113</v>
      </c>
      <c r="E186" s="136" t="s">
        <v>38</v>
      </c>
      <c r="F186" s="144">
        <v>11045002</v>
      </c>
    </row>
    <row r="187" spans="1:6">
      <c r="A187" s="135">
        <v>6920</v>
      </c>
      <c r="B187" s="136" t="s">
        <v>436</v>
      </c>
      <c r="C187" s="136" t="s">
        <v>437</v>
      </c>
      <c r="D187" s="136" t="s">
        <v>45</v>
      </c>
      <c r="E187" s="136" t="s">
        <v>38</v>
      </c>
      <c r="F187" s="144">
        <v>3101000</v>
      </c>
    </row>
    <row r="188" spans="1:6">
      <c r="A188" s="135">
        <v>6122</v>
      </c>
      <c r="B188" s="136" t="s">
        <v>617</v>
      </c>
      <c r="C188" s="136" t="s">
        <v>437</v>
      </c>
      <c r="D188" s="136" t="s">
        <v>45</v>
      </c>
      <c r="E188" s="136" t="s">
        <v>38</v>
      </c>
      <c r="F188" s="144">
        <v>3101000</v>
      </c>
    </row>
    <row r="189" spans="1:6">
      <c r="A189" s="135">
        <v>4944</v>
      </c>
      <c r="B189" s="136" t="s">
        <v>220</v>
      </c>
      <c r="C189" s="136" t="s">
        <v>221</v>
      </c>
      <c r="D189" s="136" t="s">
        <v>45</v>
      </c>
      <c r="E189" s="136" t="s">
        <v>38</v>
      </c>
      <c r="F189" s="144">
        <v>4555002</v>
      </c>
    </row>
    <row r="190" spans="1:6">
      <c r="A190" s="135">
        <v>4146</v>
      </c>
      <c r="B190" s="136" t="s">
        <v>449</v>
      </c>
      <c r="C190" s="136" t="s">
        <v>450</v>
      </c>
      <c r="D190" s="136" t="s">
        <v>45</v>
      </c>
      <c r="E190" s="136" t="s">
        <v>38</v>
      </c>
      <c r="F190" s="144">
        <v>5512300</v>
      </c>
    </row>
    <row r="191" spans="1:6">
      <c r="A191" s="135">
        <v>6483</v>
      </c>
      <c r="B191" s="136" t="s">
        <v>64</v>
      </c>
      <c r="C191" s="136" t="s">
        <v>65</v>
      </c>
      <c r="D191" s="136" t="s">
        <v>66</v>
      </c>
      <c r="E191" s="136" t="s">
        <v>38</v>
      </c>
      <c r="F191" s="144">
        <v>11435000</v>
      </c>
    </row>
    <row r="192" spans="1:6">
      <c r="A192" s="135">
        <v>3654</v>
      </c>
      <c r="B192" s="136" t="s">
        <v>447</v>
      </c>
      <c r="C192" s="136" t="s">
        <v>448</v>
      </c>
      <c r="D192" s="136" t="s">
        <v>45</v>
      </c>
      <c r="E192" s="136" t="s">
        <v>38</v>
      </c>
      <c r="F192" s="144">
        <v>1515000</v>
      </c>
    </row>
    <row r="193" spans="1:6">
      <c r="A193" s="135">
        <v>3387</v>
      </c>
      <c r="B193" s="136" t="s">
        <v>729</v>
      </c>
      <c r="C193" s="136" t="s">
        <v>448</v>
      </c>
      <c r="D193" s="136" t="s">
        <v>45</v>
      </c>
      <c r="E193" s="136" t="s">
        <v>38</v>
      </c>
      <c r="F193" s="144">
        <v>1515000</v>
      </c>
    </row>
    <row r="194" spans="1:6">
      <c r="A194" s="135">
        <v>1902</v>
      </c>
      <c r="B194" s="136" t="s">
        <v>124</v>
      </c>
      <c r="C194" s="136" t="s">
        <v>125</v>
      </c>
      <c r="D194" s="136" t="s">
        <v>37</v>
      </c>
      <c r="E194" s="136" t="s">
        <v>38</v>
      </c>
      <c r="F194" s="144">
        <v>13025320</v>
      </c>
    </row>
    <row r="195" spans="1:6">
      <c r="A195" s="135">
        <v>6220</v>
      </c>
      <c r="B195" s="136" t="s">
        <v>130</v>
      </c>
      <c r="C195" s="136" t="s">
        <v>125</v>
      </c>
      <c r="D195" s="136" t="s">
        <v>37</v>
      </c>
      <c r="E195" s="136" t="s">
        <v>38</v>
      </c>
      <c r="F195" s="144">
        <v>13024100</v>
      </c>
    </row>
    <row r="196" spans="1:6">
      <c r="A196" s="135">
        <v>1163</v>
      </c>
      <c r="B196" s="136" t="s">
        <v>735</v>
      </c>
      <c r="C196" s="136" t="s">
        <v>132</v>
      </c>
      <c r="D196" s="136" t="s">
        <v>45</v>
      </c>
      <c r="E196" s="136" t="s">
        <v>38</v>
      </c>
      <c r="F196" s="144">
        <v>4661902</v>
      </c>
    </row>
    <row r="197" spans="1:6">
      <c r="A197" s="135">
        <v>6580</v>
      </c>
      <c r="B197" s="136" t="s">
        <v>347</v>
      </c>
      <c r="C197" s="136" t="s">
        <v>348</v>
      </c>
      <c r="D197" s="136" t="s">
        <v>205</v>
      </c>
      <c r="E197" s="136" t="s">
        <v>38</v>
      </c>
      <c r="F197" s="144">
        <v>14085430</v>
      </c>
    </row>
    <row r="198" spans="1:6">
      <c r="A198" s="135">
        <v>3964</v>
      </c>
      <c r="B198" s="136" t="s">
        <v>78</v>
      </c>
      <c r="C198" s="136" t="s">
        <v>79</v>
      </c>
      <c r="D198" s="136" t="s">
        <v>45</v>
      </c>
      <c r="E198" s="136" t="s">
        <v>38</v>
      </c>
      <c r="F198" s="144">
        <v>2513000</v>
      </c>
    </row>
    <row r="199" spans="1:6">
      <c r="A199" s="135">
        <v>1830</v>
      </c>
      <c r="B199" s="136" t="s">
        <v>235</v>
      </c>
      <c r="C199" s="136" t="s">
        <v>79</v>
      </c>
      <c r="D199" s="136" t="s">
        <v>236</v>
      </c>
      <c r="E199" s="136" t="s">
        <v>38</v>
      </c>
      <c r="F199" s="144">
        <v>13280000</v>
      </c>
    </row>
    <row r="200" spans="1:6">
      <c r="A200" s="135">
        <v>6033</v>
      </c>
      <c r="B200" s="136" t="s">
        <v>620</v>
      </c>
      <c r="C200" s="136" t="s">
        <v>79</v>
      </c>
      <c r="D200" s="136" t="s">
        <v>45</v>
      </c>
      <c r="E200" s="136" t="s">
        <v>38</v>
      </c>
      <c r="F200" s="144">
        <v>2475000</v>
      </c>
    </row>
    <row r="201" spans="1:6">
      <c r="A201" s="135">
        <v>1325</v>
      </c>
      <c r="B201" s="136" t="s">
        <v>727</v>
      </c>
      <c r="C201" s="136" t="s">
        <v>728</v>
      </c>
      <c r="D201" s="136" t="s">
        <v>45</v>
      </c>
      <c r="E201" s="136" t="s">
        <v>38</v>
      </c>
      <c r="F201" s="144">
        <v>5512300</v>
      </c>
    </row>
    <row r="202" spans="1:6">
      <c r="A202" s="135">
        <v>1678</v>
      </c>
      <c r="B202" s="136" t="s">
        <v>133</v>
      </c>
      <c r="C202" s="136" t="s">
        <v>134</v>
      </c>
      <c r="D202" s="136" t="s">
        <v>135</v>
      </c>
      <c r="E202" s="136" t="s">
        <v>38</v>
      </c>
      <c r="F202" s="144">
        <v>6278000</v>
      </c>
    </row>
    <row r="203" spans="1:6">
      <c r="A203" s="135">
        <v>4901</v>
      </c>
      <c r="B203" s="136" t="s">
        <v>162</v>
      </c>
      <c r="C203" s="136" t="s">
        <v>163</v>
      </c>
      <c r="D203" s="136" t="s">
        <v>135</v>
      </c>
      <c r="E203" s="136" t="s">
        <v>38</v>
      </c>
      <c r="F203" s="144">
        <v>6278010</v>
      </c>
    </row>
    <row r="204" spans="1:6">
      <c r="A204" s="135">
        <v>4626</v>
      </c>
      <c r="B204" s="136" t="s">
        <v>204</v>
      </c>
      <c r="C204" s="136" t="s">
        <v>110</v>
      </c>
      <c r="D204" s="136" t="s">
        <v>205</v>
      </c>
      <c r="E204" s="136" t="s">
        <v>38</v>
      </c>
      <c r="F204" s="144">
        <v>14015120</v>
      </c>
    </row>
    <row r="205" spans="1:6">
      <c r="A205" s="135">
        <v>1880</v>
      </c>
      <c r="B205" s="136" t="s">
        <v>218</v>
      </c>
      <c r="C205" s="136" t="s">
        <v>110</v>
      </c>
      <c r="D205" s="136" t="s">
        <v>219</v>
      </c>
      <c r="E205" s="136" t="s">
        <v>38</v>
      </c>
      <c r="F205" s="144">
        <v>9770140</v>
      </c>
    </row>
    <row r="206" spans="1:6">
      <c r="A206" s="135">
        <v>1899</v>
      </c>
      <c r="B206" s="136" t="s">
        <v>231</v>
      </c>
      <c r="C206" s="136" t="s">
        <v>110</v>
      </c>
      <c r="D206" s="136" t="s">
        <v>232</v>
      </c>
      <c r="E206" s="136" t="s">
        <v>38</v>
      </c>
      <c r="F206" s="144">
        <v>12080000</v>
      </c>
    </row>
    <row r="207" spans="1:6">
      <c r="A207" s="135">
        <v>3280</v>
      </c>
      <c r="B207" s="136" t="s">
        <v>233</v>
      </c>
      <c r="C207" s="136" t="s">
        <v>110</v>
      </c>
      <c r="D207" s="136" t="s">
        <v>234</v>
      </c>
      <c r="E207" s="136" t="s">
        <v>38</v>
      </c>
      <c r="F207" s="144">
        <v>12287020</v>
      </c>
    </row>
    <row r="208" spans="1:6">
      <c r="A208" s="135">
        <v>5045</v>
      </c>
      <c r="B208" s="136" t="s">
        <v>318</v>
      </c>
      <c r="C208" s="136" t="s">
        <v>110</v>
      </c>
      <c r="D208" s="136" t="s">
        <v>104</v>
      </c>
      <c r="E208" s="136" t="s">
        <v>38</v>
      </c>
      <c r="F208" s="144">
        <v>9015310</v>
      </c>
    </row>
    <row r="209" spans="1:6">
      <c r="A209" s="135">
        <v>6548</v>
      </c>
      <c r="B209" s="136" t="s">
        <v>327</v>
      </c>
      <c r="C209" s="136" t="s">
        <v>110</v>
      </c>
      <c r="D209" s="136" t="s">
        <v>328</v>
      </c>
      <c r="E209" s="136" t="s">
        <v>38</v>
      </c>
      <c r="F209" s="144">
        <v>14870790</v>
      </c>
    </row>
    <row r="210" spans="1:6">
      <c r="A210" s="135">
        <v>6556</v>
      </c>
      <c r="B210" s="136" t="s">
        <v>329</v>
      </c>
      <c r="C210" s="136" t="s">
        <v>110</v>
      </c>
      <c r="D210" s="136" t="s">
        <v>328</v>
      </c>
      <c r="E210" s="136" t="s">
        <v>38</v>
      </c>
      <c r="F210" s="144">
        <v>14870370</v>
      </c>
    </row>
    <row r="211" spans="1:6">
      <c r="A211" s="135">
        <v>6530</v>
      </c>
      <c r="B211" s="136" t="s">
        <v>330</v>
      </c>
      <c r="C211" s="136" t="s">
        <v>110</v>
      </c>
      <c r="D211" s="136" t="s">
        <v>331</v>
      </c>
      <c r="E211" s="136" t="s">
        <v>38</v>
      </c>
      <c r="F211" s="144">
        <v>15910000</v>
      </c>
    </row>
    <row r="212" spans="1:6">
      <c r="A212" s="135">
        <v>6521</v>
      </c>
      <c r="B212" s="136" t="s">
        <v>332</v>
      </c>
      <c r="C212" s="136" t="s">
        <v>110</v>
      </c>
      <c r="D212" s="136" t="s">
        <v>333</v>
      </c>
      <c r="E212" s="136" t="s">
        <v>38</v>
      </c>
      <c r="F212" s="144">
        <v>15990200</v>
      </c>
    </row>
    <row r="213" spans="1:6">
      <c r="A213" s="135">
        <v>3662</v>
      </c>
      <c r="B213" s="136" t="s">
        <v>401</v>
      </c>
      <c r="C213" s="136" t="s">
        <v>110</v>
      </c>
      <c r="D213" s="136" t="s">
        <v>402</v>
      </c>
      <c r="E213" s="136" t="s">
        <v>38</v>
      </c>
      <c r="F213" s="144">
        <v>14700000</v>
      </c>
    </row>
    <row r="214" spans="1:6">
      <c r="A214" s="135">
        <v>3670</v>
      </c>
      <c r="B214" s="136" t="s">
        <v>418</v>
      </c>
      <c r="C214" s="136" t="s">
        <v>110</v>
      </c>
      <c r="D214" s="136" t="s">
        <v>402</v>
      </c>
      <c r="E214" s="136" t="s">
        <v>38</v>
      </c>
      <c r="F214" s="144">
        <v>14700000</v>
      </c>
    </row>
    <row r="215" spans="1:6">
      <c r="A215" s="135">
        <v>4693</v>
      </c>
      <c r="B215" s="136" t="s">
        <v>464</v>
      </c>
      <c r="C215" s="136" t="s">
        <v>110</v>
      </c>
      <c r="D215" s="136" t="s">
        <v>234</v>
      </c>
      <c r="E215" s="136" t="s">
        <v>38</v>
      </c>
      <c r="F215" s="144">
        <v>12287020</v>
      </c>
    </row>
    <row r="216" spans="1:6">
      <c r="A216" s="135">
        <v>3301</v>
      </c>
      <c r="B216" s="136" t="s">
        <v>753</v>
      </c>
      <c r="C216" s="136" t="s">
        <v>110</v>
      </c>
      <c r="D216" s="136" t="s">
        <v>754</v>
      </c>
      <c r="E216" s="136" t="s">
        <v>38</v>
      </c>
      <c r="F216" s="144">
        <v>6768200</v>
      </c>
    </row>
    <row r="217" spans="1:6">
      <c r="A217" s="135">
        <v>3530</v>
      </c>
      <c r="B217" s="136" t="s">
        <v>215</v>
      </c>
      <c r="C217" s="136" t="s">
        <v>216</v>
      </c>
      <c r="D217" s="136" t="s">
        <v>217</v>
      </c>
      <c r="E217" s="136" t="s">
        <v>38</v>
      </c>
      <c r="F217" s="144">
        <v>6541038</v>
      </c>
    </row>
    <row r="218" spans="1:6">
      <c r="A218" s="135">
        <v>4219</v>
      </c>
      <c r="B218" s="136" t="s">
        <v>315</v>
      </c>
      <c r="C218" s="136" t="s">
        <v>316</v>
      </c>
      <c r="D218" s="136" t="s">
        <v>317</v>
      </c>
      <c r="E218" s="136" t="s">
        <v>38</v>
      </c>
      <c r="F218" s="144">
        <v>14406005</v>
      </c>
    </row>
    <row r="219" spans="1:6">
      <c r="A219" s="135">
        <v>4685</v>
      </c>
      <c r="B219" s="136" t="s">
        <v>461</v>
      </c>
      <c r="C219" s="136" t="s">
        <v>462</v>
      </c>
      <c r="D219" s="136" t="s">
        <v>463</v>
      </c>
      <c r="E219" s="136" t="s">
        <v>38</v>
      </c>
      <c r="F219" s="144">
        <v>6768200</v>
      </c>
    </row>
    <row r="220" spans="1:6">
      <c r="A220" s="135">
        <v>264</v>
      </c>
      <c r="B220" s="136" t="s">
        <v>172</v>
      </c>
      <c r="C220" s="136" t="s">
        <v>173</v>
      </c>
      <c r="D220" s="136" t="s">
        <v>174</v>
      </c>
      <c r="E220" s="136" t="s">
        <v>38</v>
      </c>
      <c r="F220" s="144">
        <v>13330000</v>
      </c>
    </row>
    <row r="221" spans="1:6">
      <c r="A221" s="135">
        <v>4731</v>
      </c>
      <c r="B221" s="136" t="s">
        <v>575</v>
      </c>
      <c r="C221" s="136" t="s">
        <v>576</v>
      </c>
      <c r="D221" s="136" t="s">
        <v>577</v>
      </c>
      <c r="E221" s="136" t="s">
        <v>38</v>
      </c>
      <c r="F221" s="144">
        <v>15076630</v>
      </c>
    </row>
    <row r="222" spans="1:6">
      <c r="A222" s="135">
        <v>1368</v>
      </c>
      <c r="B222" s="136" t="s">
        <v>719</v>
      </c>
      <c r="C222" s="136" t="s">
        <v>576</v>
      </c>
      <c r="D222" s="136" t="s">
        <v>227</v>
      </c>
      <c r="E222" s="136" t="s">
        <v>38</v>
      </c>
      <c r="F222" s="144">
        <v>15076630</v>
      </c>
    </row>
    <row r="223" spans="1:6">
      <c r="A223" s="135">
        <v>4448</v>
      </c>
      <c r="B223" s="136" t="s">
        <v>440</v>
      </c>
      <c r="C223" s="136" t="s">
        <v>441</v>
      </c>
      <c r="D223" s="136" t="s">
        <v>73</v>
      </c>
      <c r="E223" s="136" t="s">
        <v>38</v>
      </c>
      <c r="F223" s="144">
        <v>9820000</v>
      </c>
    </row>
    <row r="224" spans="1:6">
      <c r="A224" s="135">
        <v>4227</v>
      </c>
      <c r="B224" s="136" t="s">
        <v>712</v>
      </c>
      <c r="C224" s="136" t="s">
        <v>441</v>
      </c>
      <c r="D224" s="136" t="s">
        <v>219</v>
      </c>
      <c r="E224" s="136" t="s">
        <v>38</v>
      </c>
      <c r="F224" s="144">
        <v>9820000</v>
      </c>
    </row>
    <row r="225" spans="1:6">
      <c r="A225" s="135">
        <v>6661</v>
      </c>
      <c r="B225" s="136" t="s">
        <v>164</v>
      </c>
      <c r="C225" s="136" t="s">
        <v>165</v>
      </c>
      <c r="D225" s="136" t="s">
        <v>166</v>
      </c>
      <c r="E225" s="136" t="s">
        <v>38</v>
      </c>
      <c r="F225" s="144">
        <v>6423080</v>
      </c>
    </row>
    <row r="226" spans="1:6">
      <c r="A226" s="135">
        <v>2526</v>
      </c>
      <c r="B226" s="136" t="s">
        <v>191</v>
      </c>
      <c r="C226" s="136" t="s">
        <v>192</v>
      </c>
      <c r="D226" s="136" t="s">
        <v>45</v>
      </c>
      <c r="E226" s="136" t="s">
        <v>38</v>
      </c>
      <c r="F226" s="144">
        <v>4777000</v>
      </c>
    </row>
    <row r="227" spans="1:6">
      <c r="A227" s="135">
        <v>4553</v>
      </c>
      <c r="B227" s="136" t="s">
        <v>454</v>
      </c>
      <c r="C227" s="136" t="s">
        <v>455</v>
      </c>
      <c r="D227" s="136" t="s">
        <v>37</v>
      </c>
      <c r="E227" s="136" t="s">
        <v>38</v>
      </c>
      <c r="F227" s="144">
        <v>5576000</v>
      </c>
    </row>
    <row r="228" spans="1:6">
      <c r="A228" s="135">
        <v>4820</v>
      </c>
      <c r="B228" s="136" t="s">
        <v>562</v>
      </c>
      <c r="C228" s="136" t="s">
        <v>563</v>
      </c>
      <c r="D228" s="136" t="s">
        <v>564</v>
      </c>
      <c r="E228" s="136" t="s">
        <v>38</v>
      </c>
      <c r="F228" s="144">
        <v>9520180</v>
      </c>
    </row>
    <row r="229" spans="1:6">
      <c r="A229" s="135">
        <v>1333</v>
      </c>
      <c r="B229" s="136" t="s">
        <v>715</v>
      </c>
      <c r="C229" s="136" t="s">
        <v>563</v>
      </c>
      <c r="D229" s="136" t="s">
        <v>564</v>
      </c>
      <c r="E229" s="136" t="s">
        <v>38</v>
      </c>
      <c r="F229" s="144">
        <v>9520180</v>
      </c>
    </row>
    <row r="230" spans="1:6">
      <c r="A230" s="135">
        <v>1643</v>
      </c>
      <c r="B230" s="136" t="s">
        <v>500</v>
      </c>
      <c r="C230" s="136" t="s">
        <v>501</v>
      </c>
      <c r="D230" s="136" t="s">
        <v>502</v>
      </c>
      <c r="E230" s="136" t="s">
        <v>38</v>
      </c>
      <c r="F230" s="144">
        <v>13403130</v>
      </c>
    </row>
    <row r="231" spans="1:6">
      <c r="A231" s="135">
        <v>2704</v>
      </c>
      <c r="B231" s="136" t="s">
        <v>128</v>
      </c>
      <c r="C231" s="136" t="s">
        <v>129</v>
      </c>
      <c r="D231" s="136" t="s">
        <v>45</v>
      </c>
      <c r="E231" s="136" t="s">
        <v>38</v>
      </c>
      <c r="F231" s="144">
        <v>4719050</v>
      </c>
    </row>
    <row r="232" spans="1:6">
      <c r="A232" s="135">
        <v>1244</v>
      </c>
      <c r="B232" s="136" t="s">
        <v>749</v>
      </c>
      <c r="C232" s="136" t="s">
        <v>750</v>
      </c>
      <c r="D232" s="136" t="s">
        <v>104</v>
      </c>
      <c r="E232" s="136" t="s">
        <v>38</v>
      </c>
      <c r="F232" s="144">
        <v>9110560</v>
      </c>
    </row>
    <row r="233" spans="1:6">
      <c r="A233" s="135">
        <v>6130</v>
      </c>
      <c r="B233" s="136" t="s">
        <v>624</v>
      </c>
      <c r="C233" s="136" t="s">
        <v>625</v>
      </c>
      <c r="D233" s="136" t="s">
        <v>45</v>
      </c>
      <c r="E233" s="136" t="s">
        <v>38</v>
      </c>
      <c r="F233" s="144">
        <v>4661100</v>
      </c>
    </row>
    <row r="234" spans="1:6">
      <c r="A234" s="135">
        <v>6025</v>
      </c>
      <c r="B234" s="136" t="s">
        <v>633</v>
      </c>
      <c r="C234" s="136" t="s">
        <v>625</v>
      </c>
      <c r="D234" s="136" t="s">
        <v>45</v>
      </c>
      <c r="E234" s="136" t="s">
        <v>38</v>
      </c>
      <c r="F234" s="144">
        <v>4772002</v>
      </c>
    </row>
    <row r="235" spans="1:6">
      <c r="A235" s="135">
        <v>3921</v>
      </c>
      <c r="B235" s="136" t="s">
        <v>96</v>
      </c>
      <c r="C235" s="136" t="s">
        <v>97</v>
      </c>
      <c r="D235" s="136" t="s">
        <v>45</v>
      </c>
      <c r="E235" s="136" t="s">
        <v>38</v>
      </c>
      <c r="F235" s="144">
        <v>4209000</v>
      </c>
    </row>
    <row r="236" spans="1:6">
      <c r="A236" s="135">
        <v>6564</v>
      </c>
      <c r="B236" s="136" t="s">
        <v>349</v>
      </c>
      <c r="C236" s="136" t="s">
        <v>97</v>
      </c>
      <c r="D236" s="136" t="s">
        <v>205</v>
      </c>
      <c r="E236" s="136" t="s">
        <v>38</v>
      </c>
      <c r="F236" s="144">
        <v>14055660</v>
      </c>
    </row>
    <row r="237" spans="1:6">
      <c r="A237" s="135">
        <v>4570</v>
      </c>
      <c r="B237" s="136" t="s">
        <v>432</v>
      </c>
      <c r="C237" s="136" t="s">
        <v>97</v>
      </c>
      <c r="D237" s="136" t="s">
        <v>45</v>
      </c>
      <c r="E237" s="136" t="s">
        <v>38</v>
      </c>
      <c r="F237" s="144">
        <v>4246002</v>
      </c>
    </row>
    <row r="238" spans="1:6">
      <c r="A238" s="135">
        <v>4723</v>
      </c>
      <c r="B238" s="136" t="s">
        <v>553</v>
      </c>
      <c r="C238" s="136" t="s">
        <v>97</v>
      </c>
      <c r="D238" s="136" t="s">
        <v>205</v>
      </c>
      <c r="E238" s="136" t="s">
        <v>38</v>
      </c>
      <c r="F238" s="144">
        <v>14055510</v>
      </c>
    </row>
    <row r="239" spans="1:6">
      <c r="A239" s="135">
        <v>6084</v>
      </c>
      <c r="B239" s="136" t="s">
        <v>623</v>
      </c>
      <c r="C239" s="136" t="s">
        <v>97</v>
      </c>
      <c r="D239" s="136" t="s">
        <v>45</v>
      </c>
      <c r="E239" s="136" t="s">
        <v>38</v>
      </c>
      <c r="F239" s="144">
        <v>4217000</v>
      </c>
    </row>
    <row r="240" spans="1:6">
      <c r="A240" s="135">
        <v>3514</v>
      </c>
      <c r="B240" s="136" t="s">
        <v>690</v>
      </c>
      <c r="C240" s="136" t="s">
        <v>97</v>
      </c>
      <c r="D240" s="136" t="s">
        <v>205</v>
      </c>
      <c r="E240" s="136" t="s">
        <v>38</v>
      </c>
      <c r="F240" s="144">
        <v>14055510</v>
      </c>
    </row>
    <row r="241" spans="1:6">
      <c r="A241" s="135">
        <v>6408</v>
      </c>
      <c r="B241" s="136" t="s">
        <v>43</v>
      </c>
      <c r="C241" s="136" t="s">
        <v>44</v>
      </c>
      <c r="D241" s="136" t="s">
        <v>45</v>
      </c>
      <c r="E241" s="136" t="s">
        <v>38</v>
      </c>
      <c r="F241" s="144">
        <v>8260000</v>
      </c>
    </row>
    <row r="242" spans="1:6">
      <c r="A242" s="135">
        <v>5002</v>
      </c>
      <c r="B242" s="136" t="s">
        <v>303</v>
      </c>
      <c r="C242" s="136" t="s">
        <v>44</v>
      </c>
      <c r="D242" s="136" t="s">
        <v>45</v>
      </c>
      <c r="E242" s="136" t="s">
        <v>38</v>
      </c>
      <c r="F242" s="144">
        <v>8260005</v>
      </c>
    </row>
    <row r="243" spans="1:6">
      <c r="A243" s="135">
        <v>6076</v>
      </c>
      <c r="B243" s="136" t="s">
        <v>628</v>
      </c>
      <c r="C243" s="136" t="s">
        <v>629</v>
      </c>
      <c r="D243" s="136" t="s">
        <v>45</v>
      </c>
      <c r="E243" s="136" t="s">
        <v>38</v>
      </c>
      <c r="F243" s="144">
        <v>4729080</v>
      </c>
    </row>
    <row r="244" spans="1:6">
      <c r="A244" s="135">
        <v>6955</v>
      </c>
      <c r="B244" s="136" t="s">
        <v>507</v>
      </c>
      <c r="C244" s="136" t="s">
        <v>508</v>
      </c>
      <c r="D244" s="136" t="s">
        <v>45</v>
      </c>
      <c r="E244" s="136" t="s">
        <v>38</v>
      </c>
      <c r="F244" s="144">
        <v>4325000</v>
      </c>
    </row>
    <row r="245" spans="1:6">
      <c r="A245" s="135">
        <v>4596</v>
      </c>
      <c r="B245" s="136" t="s">
        <v>716</v>
      </c>
      <c r="C245" s="136" t="s">
        <v>508</v>
      </c>
      <c r="D245" s="136" t="s">
        <v>45</v>
      </c>
      <c r="E245" s="136" t="s">
        <v>38</v>
      </c>
      <c r="F245" s="144">
        <v>4345000</v>
      </c>
    </row>
    <row r="246" spans="1:6">
      <c r="A246" s="135">
        <v>6050</v>
      </c>
      <c r="B246" s="136" t="s">
        <v>626</v>
      </c>
      <c r="C246" s="136" t="s">
        <v>627</v>
      </c>
      <c r="D246" s="136" t="s">
        <v>45</v>
      </c>
      <c r="E246" s="136" t="s">
        <v>38</v>
      </c>
      <c r="F246" s="144">
        <v>2260001</v>
      </c>
    </row>
    <row r="247" spans="1:6">
      <c r="A247" s="135">
        <v>2550</v>
      </c>
      <c r="B247" s="136" t="s">
        <v>175</v>
      </c>
      <c r="C247" s="136" t="s">
        <v>176</v>
      </c>
      <c r="D247" s="136" t="s">
        <v>177</v>
      </c>
      <c r="E247" s="136" t="s">
        <v>38</v>
      </c>
      <c r="F247" s="144">
        <v>133000000</v>
      </c>
    </row>
    <row r="248" spans="1:6">
      <c r="A248" s="135">
        <v>6475</v>
      </c>
      <c r="B248" s="136" t="s">
        <v>262</v>
      </c>
      <c r="C248" s="136" t="s">
        <v>263</v>
      </c>
      <c r="D248" s="136" t="s">
        <v>264</v>
      </c>
      <c r="E248" s="136" t="s">
        <v>38</v>
      </c>
      <c r="F248" s="144">
        <v>6703000</v>
      </c>
    </row>
    <row r="249" spans="1:6">
      <c r="A249" s="135">
        <v>4359</v>
      </c>
      <c r="B249" s="136" t="s">
        <v>584</v>
      </c>
      <c r="C249" s="136" t="s">
        <v>585</v>
      </c>
      <c r="D249" s="136" t="s">
        <v>586</v>
      </c>
      <c r="E249" s="136" t="s">
        <v>38</v>
      </c>
      <c r="F249" s="144">
        <v>11380001</v>
      </c>
    </row>
    <row r="250" spans="1:6">
      <c r="A250" s="135">
        <v>5010</v>
      </c>
      <c r="B250" s="136" t="s">
        <v>287</v>
      </c>
      <c r="C250" s="136" t="s">
        <v>288</v>
      </c>
      <c r="D250" s="136" t="s">
        <v>45</v>
      </c>
      <c r="E250" s="136" t="s">
        <v>38</v>
      </c>
      <c r="F250" s="144">
        <v>4905000</v>
      </c>
    </row>
    <row r="251" spans="1:6">
      <c r="A251" s="135">
        <v>5029</v>
      </c>
      <c r="B251" s="136" t="s">
        <v>297</v>
      </c>
      <c r="C251" s="136" t="s">
        <v>298</v>
      </c>
      <c r="D251" s="136" t="s">
        <v>37</v>
      </c>
      <c r="E251" s="136" t="s">
        <v>38</v>
      </c>
      <c r="F251" s="144">
        <v>13080395</v>
      </c>
    </row>
    <row r="252" spans="1:6">
      <c r="A252" s="135">
        <v>6165</v>
      </c>
      <c r="B252" s="136" t="s">
        <v>285</v>
      </c>
      <c r="C252" s="136" t="s">
        <v>286</v>
      </c>
      <c r="D252" s="136" t="s">
        <v>82</v>
      </c>
      <c r="E252" s="136" t="s">
        <v>38</v>
      </c>
      <c r="F252" s="144">
        <v>7140230</v>
      </c>
    </row>
    <row r="253" spans="1:6">
      <c r="A253" s="135">
        <v>6009</v>
      </c>
      <c r="B253" s="136" t="s">
        <v>58</v>
      </c>
      <c r="C253" s="136" t="s">
        <v>59</v>
      </c>
      <c r="D253" s="136" t="s">
        <v>45</v>
      </c>
      <c r="E253" s="136" t="s">
        <v>38</v>
      </c>
      <c r="F253" s="144">
        <v>4864002</v>
      </c>
    </row>
    <row r="254" spans="1:6">
      <c r="A254" s="135">
        <v>1228</v>
      </c>
      <c r="B254" s="136" t="s">
        <v>743</v>
      </c>
      <c r="C254" s="136" t="s">
        <v>744</v>
      </c>
      <c r="D254" s="136" t="s">
        <v>45</v>
      </c>
      <c r="E254" s="136" t="s">
        <v>38</v>
      </c>
      <c r="F254" s="144">
        <v>4150900</v>
      </c>
    </row>
    <row r="255" spans="1:6">
      <c r="A255" s="135">
        <v>6467</v>
      </c>
      <c r="B255" s="136" t="s">
        <v>35</v>
      </c>
      <c r="C255" s="136" t="s">
        <v>36</v>
      </c>
      <c r="D255" s="136" t="s">
        <v>37</v>
      </c>
      <c r="E255" s="136" t="s">
        <v>38</v>
      </c>
      <c r="F255" s="144">
        <v>13080395</v>
      </c>
    </row>
    <row r="256" spans="1:6">
      <c r="A256" s="135">
        <v>1279</v>
      </c>
      <c r="B256" s="136" t="s">
        <v>202</v>
      </c>
      <c r="C256" s="136" t="s">
        <v>203</v>
      </c>
      <c r="D256" s="136" t="s">
        <v>37</v>
      </c>
      <c r="E256" s="136" t="s">
        <v>38</v>
      </c>
      <c r="F256" s="144">
        <v>13044370</v>
      </c>
    </row>
    <row r="257" spans="1:6">
      <c r="A257" s="135">
        <v>4766</v>
      </c>
      <c r="B257" s="136" t="s">
        <v>468</v>
      </c>
      <c r="C257" s="136" t="s">
        <v>469</v>
      </c>
      <c r="D257" s="136" t="s">
        <v>37</v>
      </c>
      <c r="E257" s="136" t="s">
        <v>38</v>
      </c>
      <c r="F257" s="144">
        <v>13044502</v>
      </c>
    </row>
    <row r="258" spans="1:6">
      <c r="A258" s="135">
        <v>4529</v>
      </c>
      <c r="B258" s="136" t="s">
        <v>434</v>
      </c>
      <c r="C258" s="136" t="s">
        <v>435</v>
      </c>
      <c r="D258" s="136" t="s">
        <v>45</v>
      </c>
      <c r="E258" s="136" t="s">
        <v>38</v>
      </c>
      <c r="F258" s="144">
        <v>3453000</v>
      </c>
    </row>
    <row r="259" spans="1:6">
      <c r="A259" s="135">
        <v>4561</v>
      </c>
      <c r="B259" s="136" t="s">
        <v>195</v>
      </c>
      <c r="C259" s="136" t="s">
        <v>196</v>
      </c>
      <c r="D259" s="136" t="s">
        <v>37</v>
      </c>
      <c r="E259" s="136" t="s">
        <v>38</v>
      </c>
      <c r="F259" s="144">
        <v>13033050</v>
      </c>
    </row>
    <row r="260" spans="1:6">
      <c r="A260" s="135">
        <v>4502</v>
      </c>
      <c r="B260" s="136" t="s">
        <v>498</v>
      </c>
      <c r="C260" s="136" t="s">
        <v>499</v>
      </c>
      <c r="D260" s="136" t="s">
        <v>66</v>
      </c>
      <c r="E260" s="136" t="s">
        <v>38</v>
      </c>
      <c r="F260" s="144">
        <v>11440002</v>
      </c>
    </row>
    <row r="261" spans="1:6">
      <c r="A261" s="135">
        <v>3344</v>
      </c>
      <c r="B261" s="136" t="s">
        <v>253</v>
      </c>
      <c r="C261" s="136" t="s">
        <v>254</v>
      </c>
      <c r="D261" s="136" t="s">
        <v>166</v>
      </c>
      <c r="E261" s="136" t="s">
        <v>38</v>
      </c>
      <c r="F261" s="144">
        <v>6400000</v>
      </c>
    </row>
    <row r="262" spans="1:6">
      <c r="A262" s="135">
        <v>1171</v>
      </c>
      <c r="B262" s="136" t="s">
        <v>693</v>
      </c>
      <c r="C262" s="136" t="s">
        <v>694</v>
      </c>
      <c r="D262" s="136" t="s">
        <v>205</v>
      </c>
      <c r="E262" s="136" t="s">
        <v>38</v>
      </c>
      <c r="F262" s="144">
        <v>14026900</v>
      </c>
    </row>
    <row r="263" spans="1:6">
      <c r="A263" s="135">
        <v>4928</v>
      </c>
      <c r="B263" s="136" t="s">
        <v>554</v>
      </c>
      <c r="C263" s="136" t="s">
        <v>555</v>
      </c>
      <c r="D263" s="136" t="s">
        <v>45</v>
      </c>
      <c r="E263" s="136" t="s">
        <v>38</v>
      </c>
      <c r="F263" s="144">
        <v>5576000</v>
      </c>
    </row>
    <row r="264" spans="1:6">
      <c r="A264" s="135">
        <v>1120</v>
      </c>
      <c r="B264" s="136" t="s">
        <v>738</v>
      </c>
      <c r="C264" s="136" t="s">
        <v>555</v>
      </c>
      <c r="D264" s="136" t="s">
        <v>45</v>
      </c>
      <c r="E264" s="136" t="s">
        <v>38</v>
      </c>
      <c r="F264" s="144">
        <v>5577901</v>
      </c>
    </row>
    <row r="265" spans="1:6">
      <c r="A265" s="135">
        <v>51</v>
      </c>
      <c r="B265" s="136" t="s">
        <v>225</v>
      </c>
      <c r="C265" s="136" t="s">
        <v>226</v>
      </c>
      <c r="D265" s="136" t="s">
        <v>227</v>
      </c>
      <c r="E265" s="136" t="s">
        <v>38</v>
      </c>
      <c r="F265" s="144">
        <v>150900001</v>
      </c>
    </row>
    <row r="266" spans="1:6">
      <c r="A266" s="135">
        <v>1201</v>
      </c>
      <c r="B266" s="136" t="s">
        <v>708</v>
      </c>
      <c r="C266" s="136" t="s">
        <v>709</v>
      </c>
      <c r="D266" s="136" t="s">
        <v>586</v>
      </c>
      <c r="E266" s="136" t="s">
        <v>38</v>
      </c>
      <c r="F266" s="144">
        <v>11380001</v>
      </c>
    </row>
    <row r="267" spans="1:6">
      <c r="A267" s="135">
        <v>3549</v>
      </c>
      <c r="B267" s="136" t="s">
        <v>182</v>
      </c>
      <c r="C267" s="136" t="s">
        <v>183</v>
      </c>
      <c r="D267" s="136" t="s">
        <v>45</v>
      </c>
      <c r="E267" s="136" t="s">
        <v>38</v>
      </c>
      <c r="F267" s="144">
        <v>5640001</v>
      </c>
    </row>
    <row r="268" spans="1:6">
      <c r="A268" s="135">
        <v>1058</v>
      </c>
      <c r="B268" s="136" t="s">
        <v>200</v>
      </c>
      <c r="C268" s="136" t="s">
        <v>201</v>
      </c>
      <c r="D268" s="136" t="s">
        <v>37</v>
      </c>
      <c r="E268" s="136" t="s">
        <v>38</v>
      </c>
      <c r="F268" s="144">
        <v>13097670</v>
      </c>
    </row>
    <row r="269" spans="1:6">
      <c r="A269" s="135">
        <v>2020</v>
      </c>
      <c r="B269" s="136" t="s">
        <v>272</v>
      </c>
      <c r="C269" s="136" t="s">
        <v>273</v>
      </c>
      <c r="D269" s="136" t="s">
        <v>45</v>
      </c>
      <c r="E269" s="136" t="s">
        <v>38</v>
      </c>
      <c r="F269" s="144">
        <v>1405002</v>
      </c>
    </row>
    <row r="270" spans="1:6">
      <c r="A270" s="135">
        <v>4740</v>
      </c>
      <c r="B270" s="136" t="s">
        <v>466</v>
      </c>
      <c r="C270" s="136" t="s">
        <v>467</v>
      </c>
      <c r="D270" s="136" t="s">
        <v>257</v>
      </c>
      <c r="E270" s="136" t="s">
        <v>38</v>
      </c>
      <c r="F270" s="144">
        <v>9913000</v>
      </c>
    </row>
    <row r="271" spans="1:6">
      <c r="A271" s="135">
        <v>4707</v>
      </c>
      <c r="B271" s="136" t="s">
        <v>512</v>
      </c>
      <c r="C271" s="136" t="s">
        <v>513</v>
      </c>
      <c r="D271" s="136" t="s">
        <v>368</v>
      </c>
      <c r="E271" s="136" t="s">
        <v>38</v>
      </c>
      <c r="F271" s="144">
        <v>13206245</v>
      </c>
    </row>
    <row r="272" spans="1:6">
      <c r="A272" s="135">
        <v>1422</v>
      </c>
      <c r="B272" s="136" t="s">
        <v>710</v>
      </c>
      <c r="C272" s="136" t="s">
        <v>711</v>
      </c>
      <c r="D272" s="136" t="s">
        <v>219</v>
      </c>
      <c r="E272" s="136" t="s">
        <v>38</v>
      </c>
      <c r="F272" s="144">
        <v>9750001</v>
      </c>
    </row>
    <row r="273" spans="1:6">
      <c r="A273" s="135">
        <v>1155</v>
      </c>
      <c r="B273" s="136" t="s">
        <v>741</v>
      </c>
      <c r="C273" s="136" t="s">
        <v>742</v>
      </c>
      <c r="D273" s="136" t="s">
        <v>45</v>
      </c>
      <c r="E273" s="136" t="s">
        <v>38</v>
      </c>
      <c r="F273" s="144">
        <v>3452000</v>
      </c>
    </row>
    <row r="274" spans="1:6">
      <c r="A274" s="135">
        <v>4405</v>
      </c>
      <c r="B274" s="136" t="s">
        <v>364</v>
      </c>
      <c r="C274" s="136" t="s">
        <v>365</v>
      </c>
      <c r="D274" s="136" t="s">
        <v>66</v>
      </c>
      <c r="E274" s="136" t="s">
        <v>38</v>
      </c>
      <c r="F274" s="144">
        <v>11440002</v>
      </c>
    </row>
    <row r="275" spans="1:6">
      <c r="A275" s="135">
        <v>2070</v>
      </c>
      <c r="B275" s="136" t="s">
        <v>274</v>
      </c>
      <c r="C275" s="136" t="s">
        <v>275</v>
      </c>
      <c r="D275" s="136" t="s">
        <v>209</v>
      </c>
      <c r="E275" s="136" t="s">
        <v>38</v>
      </c>
      <c r="F275" s="144">
        <v>19060000</v>
      </c>
    </row>
    <row r="276" spans="1:6">
      <c r="A276" s="135">
        <v>4537</v>
      </c>
      <c r="B276" s="136" t="s">
        <v>547</v>
      </c>
      <c r="C276" s="136" t="s">
        <v>548</v>
      </c>
      <c r="D276" s="136" t="s">
        <v>45</v>
      </c>
      <c r="E276" s="136" t="s">
        <v>38</v>
      </c>
      <c r="F276" s="144">
        <v>8260000</v>
      </c>
    </row>
    <row r="277" spans="1:6">
      <c r="A277" s="135">
        <v>1589</v>
      </c>
      <c r="B277" s="136" t="s">
        <v>730</v>
      </c>
      <c r="C277" s="136" t="s">
        <v>548</v>
      </c>
      <c r="D277" s="136" t="s">
        <v>45</v>
      </c>
      <c r="E277" s="136" t="s">
        <v>38</v>
      </c>
      <c r="F277" s="144">
        <v>8260000</v>
      </c>
    </row>
    <row r="278" spans="1:6">
      <c r="A278" s="135">
        <v>4782</v>
      </c>
      <c r="B278" s="136" t="s">
        <v>505</v>
      </c>
      <c r="C278" s="136" t="s">
        <v>506</v>
      </c>
      <c r="D278" s="136" t="s">
        <v>177</v>
      </c>
      <c r="E278" s="136" t="s">
        <v>38</v>
      </c>
      <c r="F278" s="144">
        <v>13301000</v>
      </c>
    </row>
    <row r="279" spans="1:6">
      <c r="A279" s="135">
        <v>1490</v>
      </c>
      <c r="B279" s="136" t="s">
        <v>736</v>
      </c>
      <c r="C279" s="136" t="s">
        <v>737</v>
      </c>
      <c r="D279" s="136" t="s">
        <v>45</v>
      </c>
      <c r="E279" s="136" t="s">
        <v>38</v>
      </c>
      <c r="F279" s="144">
        <v>2701000</v>
      </c>
    </row>
    <row r="280" spans="1:6">
      <c r="A280" s="135">
        <v>3980</v>
      </c>
      <c r="B280" s="136" t="s">
        <v>80</v>
      </c>
      <c r="C280" s="136" t="s">
        <v>81</v>
      </c>
      <c r="D280" s="136" t="s">
        <v>82</v>
      </c>
      <c r="E280" s="136" t="s">
        <v>38</v>
      </c>
      <c r="F280" s="144">
        <v>7111070</v>
      </c>
    </row>
    <row r="281" spans="1:6">
      <c r="A281" s="135">
        <v>1392</v>
      </c>
      <c r="B281" s="136" t="s">
        <v>366</v>
      </c>
      <c r="C281" s="136" t="s">
        <v>367</v>
      </c>
      <c r="D281" s="136" t="s">
        <v>368</v>
      </c>
      <c r="E281" s="136" t="s">
        <v>38</v>
      </c>
      <c r="F281" s="144">
        <v>13029610</v>
      </c>
    </row>
    <row r="282" spans="1:6">
      <c r="A282" s="135">
        <v>3905</v>
      </c>
      <c r="B282" s="136" t="s">
        <v>98</v>
      </c>
      <c r="C282" s="136" t="s">
        <v>99</v>
      </c>
      <c r="D282" s="136" t="s">
        <v>45</v>
      </c>
      <c r="E282" s="136" t="s">
        <v>38</v>
      </c>
      <c r="F282" s="144">
        <v>5724002</v>
      </c>
    </row>
    <row r="283" spans="1:6">
      <c r="A283" s="135">
        <v>272</v>
      </c>
      <c r="B283" s="136" t="s">
        <v>179</v>
      </c>
      <c r="C283" s="136" t="s">
        <v>180</v>
      </c>
      <c r="D283" s="136" t="s">
        <v>181</v>
      </c>
      <c r="E283" s="136" t="s">
        <v>38</v>
      </c>
      <c r="F283" s="144">
        <v>13800000</v>
      </c>
    </row>
    <row r="284" spans="1:6">
      <c r="A284" s="135">
        <v>3930</v>
      </c>
      <c r="B284" s="136" t="s">
        <v>102</v>
      </c>
      <c r="C284" s="136" t="s">
        <v>103</v>
      </c>
      <c r="D284" s="136" t="s">
        <v>104</v>
      </c>
      <c r="E284" s="136" t="s">
        <v>38</v>
      </c>
      <c r="F284" s="144">
        <v>9190210</v>
      </c>
    </row>
    <row r="285" spans="1:6">
      <c r="A285" s="135">
        <v>3352</v>
      </c>
      <c r="B285" s="136" t="s">
        <v>751</v>
      </c>
      <c r="C285" s="136" t="s">
        <v>752</v>
      </c>
      <c r="D285" s="136" t="s">
        <v>104</v>
      </c>
      <c r="E285" s="136" t="s">
        <v>38</v>
      </c>
      <c r="F285" s="144">
        <v>9280570</v>
      </c>
    </row>
    <row r="286" spans="1:6">
      <c r="A286" s="135">
        <v>4600</v>
      </c>
      <c r="B286" s="136" t="s">
        <v>733</v>
      </c>
      <c r="C286" s="136" t="s">
        <v>734</v>
      </c>
      <c r="D286" s="136" t="s">
        <v>45</v>
      </c>
      <c r="E286" s="136" t="s">
        <v>38</v>
      </c>
      <c r="F286" s="144">
        <v>3653000</v>
      </c>
    </row>
    <row r="287" spans="1:6">
      <c r="A287" s="135">
        <v>2038</v>
      </c>
      <c r="B287" s="136" t="s">
        <v>276</v>
      </c>
      <c r="C287" s="136" t="s">
        <v>277</v>
      </c>
      <c r="D287" s="136" t="s">
        <v>45</v>
      </c>
      <c r="E287" s="136" t="s">
        <v>38</v>
      </c>
      <c r="F287" s="144">
        <v>5402600</v>
      </c>
    </row>
    <row r="288" spans="1:6">
      <c r="A288" s="135">
        <v>3891</v>
      </c>
      <c r="B288" s="136" t="s">
        <v>100</v>
      </c>
      <c r="C288" s="136" t="s">
        <v>101</v>
      </c>
      <c r="D288" s="136" t="s">
        <v>45</v>
      </c>
      <c r="E288" s="136" t="s">
        <v>38</v>
      </c>
      <c r="F288" s="144">
        <v>5154000</v>
      </c>
    </row>
    <row r="289" spans="1:6">
      <c r="A289" s="135">
        <v>6378</v>
      </c>
      <c r="B289" s="136" t="s">
        <v>71</v>
      </c>
      <c r="C289" s="136" t="s">
        <v>72</v>
      </c>
      <c r="D289" s="136" t="s">
        <v>73</v>
      </c>
      <c r="E289" s="136" t="s">
        <v>38</v>
      </c>
      <c r="F289" s="144">
        <v>9891001</v>
      </c>
    </row>
    <row r="290" spans="1:6">
      <c r="A290" s="135">
        <v>6017</v>
      </c>
      <c r="B290" s="136" t="s">
        <v>618</v>
      </c>
      <c r="C290" s="136" t="s">
        <v>619</v>
      </c>
      <c r="D290" s="136" t="s">
        <v>45</v>
      </c>
      <c r="E290" s="136" t="s">
        <v>38</v>
      </c>
      <c r="F290" s="144">
        <v>4071010</v>
      </c>
    </row>
    <row r="291" spans="1:6">
      <c r="A291" s="135">
        <v>4774</v>
      </c>
      <c r="B291" s="136" t="s">
        <v>493</v>
      </c>
      <c r="C291" s="136" t="s">
        <v>494</v>
      </c>
      <c r="D291" s="136" t="s">
        <v>82</v>
      </c>
      <c r="E291" s="136" t="s">
        <v>38</v>
      </c>
      <c r="F291" s="144">
        <v>7124000</v>
      </c>
    </row>
    <row r="292" spans="1:6">
      <c r="A292" s="135">
        <v>4286</v>
      </c>
      <c r="B292" s="136" t="s">
        <v>594</v>
      </c>
      <c r="C292" s="136" t="s">
        <v>595</v>
      </c>
      <c r="D292" s="136" t="s">
        <v>596</v>
      </c>
      <c r="E292" s="136" t="s">
        <v>38</v>
      </c>
      <c r="F292" s="144">
        <v>6882700</v>
      </c>
    </row>
    <row r="293" spans="1:6">
      <c r="A293" s="135">
        <v>4260</v>
      </c>
      <c r="B293" s="136" t="s">
        <v>578</v>
      </c>
      <c r="C293" s="136" t="s">
        <v>579</v>
      </c>
      <c r="D293" s="136" t="s">
        <v>580</v>
      </c>
      <c r="E293" s="136" t="s">
        <v>38</v>
      </c>
      <c r="F293" s="144">
        <v>18110650</v>
      </c>
    </row>
    <row r="294" spans="1:6">
      <c r="A294" s="135">
        <v>1252</v>
      </c>
      <c r="B294" s="136" t="s">
        <v>724</v>
      </c>
      <c r="C294" s="136" t="s">
        <v>579</v>
      </c>
      <c r="D294" s="136" t="s">
        <v>580</v>
      </c>
      <c r="E294" s="136" t="s">
        <v>38</v>
      </c>
      <c r="F294" s="144">
        <v>18110650</v>
      </c>
    </row>
    <row r="295" spans="1:6">
      <c r="A295" s="135">
        <v>4812</v>
      </c>
      <c r="B295" s="136" t="s">
        <v>573</v>
      </c>
      <c r="C295" s="136" t="s">
        <v>574</v>
      </c>
      <c r="D295" s="136" t="s">
        <v>104</v>
      </c>
      <c r="E295" s="136" t="s">
        <v>38</v>
      </c>
      <c r="F295" s="144">
        <v>9280550</v>
      </c>
    </row>
    <row r="296" spans="1:6">
      <c r="A296" s="135">
        <v>4758</v>
      </c>
      <c r="B296" s="136" t="s">
        <v>509</v>
      </c>
      <c r="C296" s="136" t="s">
        <v>510</v>
      </c>
      <c r="D296" s="136" t="s">
        <v>511</v>
      </c>
      <c r="E296" s="136" t="s">
        <v>38</v>
      </c>
      <c r="F296" s="144">
        <v>12246840</v>
      </c>
    </row>
    <row r="297" spans="1:6">
      <c r="A297" s="135">
        <v>4545</v>
      </c>
      <c r="B297" s="136" t="s">
        <v>608</v>
      </c>
      <c r="C297" s="136" t="s">
        <v>609</v>
      </c>
      <c r="D297" s="136" t="s">
        <v>232</v>
      </c>
      <c r="E297" s="136" t="s">
        <v>38</v>
      </c>
      <c r="F297" s="144">
        <v>12040000</v>
      </c>
    </row>
    <row r="298" spans="1:6">
      <c r="A298" s="135">
        <v>6211</v>
      </c>
      <c r="B298" s="136" t="s">
        <v>605</v>
      </c>
      <c r="C298" s="136" t="s">
        <v>606</v>
      </c>
      <c r="D298" s="136" t="s">
        <v>607</v>
      </c>
      <c r="E298" s="136" t="s">
        <v>38</v>
      </c>
      <c r="F298" s="144">
        <v>6696000</v>
      </c>
    </row>
    <row r="299" spans="1:6">
      <c r="A299" s="135">
        <v>1805</v>
      </c>
      <c r="B299" s="136" t="s">
        <v>255</v>
      </c>
      <c r="C299" s="136" t="s">
        <v>256</v>
      </c>
      <c r="D299" s="136" t="s">
        <v>257</v>
      </c>
      <c r="E299" s="136" t="s">
        <v>38</v>
      </c>
      <c r="F299" s="144">
        <v>99101550</v>
      </c>
    </row>
    <row r="300" spans="1:6">
      <c r="A300" s="135">
        <v>6963</v>
      </c>
      <c r="B300" s="136" t="s">
        <v>514</v>
      </c>
      <c r="C300" s="136" t="s">
        <v>515</v>
      </c>
      <c r="D300" s="136" t="s">
        <v>45</v>
      </c>
      <c r="E300" s="136" t="s">
        <v>38</v>
      </c>
      <c r="F300" s="144">
        <v>5350000</v>
      </c>
    </row>
    <row r="301" spans="1:6">
      <c r="A301" s="135">
        <v>5061</v>
      </c>
      <c r="B301" s="136" t="s">
        <v>301</v>
      </c>
      <c r="C301" s="136" t="s">
        <v>302</v>
      </c>
      <c r="D301" s="136" t="s">
        <v>66</v>
      </c>
      <c r="E301" s="136" t="s">
        <v>38</v>
      </c>
      <c r="F301" s="144">
        <v>11435040</v>
      </c>
    </row>
    <row r="302" spans="1:6">
      <c r="A302" s="135">
        <v>6599</v>
      </c>
      <c r="B302" s="136" t="s">
        <v>350</v>
      </c>
      <c r="C302" s="136" t="s">
        <v>351</v>
      </c>
      <c r="D302" s="136" t="s">
        <v>205</v>
      </c>
      <c r="E302" s="136" t="s">
        <v>38</v>
      </c>
      <c r="F302" s="144">
        <v>14020750</v>
      </c>
    </row>
    <row r="303" spans="1:6">
      <c r="A303" s="135">
        <v>6505</v>
      </c>
      <c r="B303" s="136" t="s">
        <v>362</v>
      </c>
      <c r="C303" s="136" t="s">
        <v>363</v>
      </c>
      <c r="D303" s="136" t="s">
        <v>359</v>
      </c>
      <c r="E303" s="136" t="s">
        <v>38</v>
      </c>
      <c r="F303" s="144">
        <v>13562420</v>
      </c>
    </row>
    <row r="304" spans="1:6">
      <c r="A304" s="135">
        <v>3719</v>
      </c>
      <c r="B304" s="136" t="s">
        <v>691</v>
      </c>
      <c r="C304" s="136" t="s">
        <v>141</v>
      </c>
      <c r="D304" s="136" t="s">
        <v>76</v>
      </c>
      <c r="E304" s="136" t="s">
        <v>38</v>
      </c>
      <c r="F304" s="144">
        <v>725011000</v>
      </c>
    </row>
    <row r="305" spans="1:6">
      <c r="A305" s="135">
        <v>6912</v>
      </c>
      <c r="B305" s="136" t="s">
        <v>541</v>
      </c>
      <c r="C305" s="136" t="s">
        <v>542</v>
      </c>
      <c r="D305" s="136" t="s">
        <v>45</v>
      </c>
      <c r="E305" s="136" t="s">
        <v>38</v>
      </c>
      <c r="F305" s="144">
        <v>4505004</v>
      </c>
    </row>
    <row r="306" spans="1:6">
      <c r="A306" s="135">
        <v>6114</v>
      </c>
      <c r="B306" s="136" t="s">
        <v>630</v>
      </c>
      <c r="C306" s="136" t="s">
        <v>542</v>
      </c>
      <c r="D306" s="136" t="s">
        <v>45</v>
      </c>
      <c r="E306" s="136" t="s">
        <v>38</v>
      </c>
      <c r="F306" s="144">
        <v>4505004</v>
      </c>
    </row>
    <row r="307" spans="1:6">
      <c r="A307" s="135">
        <v>4421</v>
      </c>
      <c r="B307" s="136" t="s">
        <v>713</v>
      </c>
      <c r="C307" s="136" t="s">
        <v>542</v>
      </c>
      <c r="D307" s="136" t="s">
        <v>45</v>
      </c>
      <c r="E307" s="136" t="s">
        <v>38</v>
      </c>
      <c r="F307" s="144">
        <v>4701000</v>
      </c>
    </row>
    <row r="308" spans="1:6">
      <c r="A308" s="135">
        <v>221</v>
      </c>
      <c r="B308" s="136" t="s">
        <v>167</v>
      </c>
      <c r="C308" s="136" t="s">
        <v>168</v>
      </c>
      <c r="D308" s="136" t="s">
        <v>169</v>
      </c>
      <c r="E308" s="136" t="s">
        <v>38</v>
      </c>
      <c r="F308" s="144">
        <v>15600000</v>
      </c>
    </row>
    <row r="309" spans="1:6">
      <c r="A309" s="135">
        <v>3956</v>
      </c>
      <c r="B309" s="136" t="s">
        <v>107</v>
      </c>
      <c r="C309" s="136" t="s">
        <v>108</v>
      </c>
      <c r="D309" s="136" t="s">
        <v>45</v>
      </c>
      <c r="E309" s="136" t="s">
        <v>38</v>
      </c>
      <c r="F309" s="144">
        <v>8071000</v>
      </c>
    </row>
    <row r="310" spans="1:6">
      <c r="A310" s="135">
        <v>4340</v>
      </c>
      <c r="B310" s="136" t="s">
        <v>485</v>
      </c>
      <c r="C310" s="136" t="s">
        <v>108</v>
      </c>
      <c r="D310" s="136" t="s">
        <v>317</v>
      </c>
      <c r="E310" s="136" t="s">
        <v>38</v>
      </c>
      <c r="F310" s="144">
        <v>14406005</v>
      </c>
    </row>
    <row r="311" spans="1:6">
      <c r="A311" s="135">
        <v>4510</v>
      </c>
      <c r="B311" s="136" t="s">
        <v>569</v>
      </c>
      <c r="C311" s="136" t="s">
        <v>108</v>
      </c>
      <c r="D311" s="136" t="s">
        <v>45</v>
      </c>
      <c r="E311" s="136" t="s">
        <v>38</v>
      </c>
      <c r="F311" s="144">
        <v>8071000</v>
      </c>
    </row>
    <row r="312" spans="1:6">
      <c r="A312" s="135">
        <v>4995</v>
      </c>
      <c r="B312" s="136" t="s">
        <v>319</v>
      </c>
      <c r="C312" s="136" t="s">
        <v>320</v>
      </c>
      <c r="D312" s="136" t="s">
        <v>45</v>
      </c>
      <c r="E312" s="136" t="s">
        <v>38</v>
      </c>
      <c r="F312" s="144">
        <v>8020010</v>
      </c>
    </row>
    <row r="313" spans="1:6">
      <c r="A313" s="135">
        <v>1104</v>
      </c>
      <c r="B313" s="136" t="s">
        <v>725</v>
      </c>
      <c r="C313" s="136" t="s">
        <v>726</v>
      </c>
      <c r="D313" s="136" t="s">
        <v>45</v>
      </c>
      <c r="E313" s="136" t="s">
        <v>38</v>
      </c>
      <c r="F313" s="144">
        <v>4246900</v>
      </c>
    </row>
    <row r="314" spans="1:6">
      <c r="A314" s="135">
        <v>1295</v>
      </c>
      <c r="B314" s="136" t="s">
        <v>717</v>
      </c>
      <c r="C314" s="136" t="s">
        <v>718</v>
      </c>
      <c r="D314" s="136" t="s">
        <v>511</v>
      </c>
      <c r="E314" s="136" t="s">
        <v>38</v>
      </c>
      <c r="F314" s="144">
        <v>12240420</v>
      </c>
    </row>
    <row r="315" spans="1:6">
      <c r="A315" s="135">
        <v>1546</v>
      </c>
      <c r="B315" s="136" t="s">
        <v>731</v>
      </c>
      <c r="C315" s="136" t="s">
        <v>732</v>
      </c>
      <c r="D315" s="136" t="s">
        <v>45</v>
      </c>
      <c r="E315" s="136" t="s">
        <v>38</v>
      </c>
      <c r="F315" s="144">
        <v>5724030</v>
      </c>
    </row>
    <row r="316" spans="1:6">
      <c r="A316" s="135">
        <v>4456</v>
      </c>
      <c r="B316" s="136" t="s">
        <v>444</v>
      </c>
      <c r="C316" s="136" t="s">
        <v>445</v>
      </c>
      <c r="D316" s="136" t="s">
        <v>73</v>
      </c>
      <c r="E316" s="136" t="s">
        <v>38</v>
      </c>
      <c r="F316" s="144">
        <v>9655000</v>
      </c>
    </row>
    <row r="317" spans="1:6">
      <c r="A317" s="135">
        <v>4278</v>
      </c>
      <c r="B317" s="136" t="s">
        <v>714</v>
      </c>
      <c r="C317" s="136" t="s">
        <v>445</v>
      </c>
      <c r="D317" s="136" t="s">
        <v>73</v>
      </c>
      <c r="E317" s="136" t="s">
        <v>38</v>
      </c>
      <c r="F317" s="144">
        <v>9655000</v>
      </c>
    </row>
    <row r="318" spans="1:6">
      <c r="A318" s="135">
        <v>4979</v>
      </c>
      <c r="B318" s="136" t="s">
        <v>324</v>
      </c>
      <c r="C318" s="136" t="s">
        <v>325</v>
      </c>
      <c r="D318" s="136" t="s">
        <v>45</v>
      </c>
      <c r="E318" s="136" t="s">
        <v>38</v>
      </c>
      <c r="F318" s="144">
        <v>2938000</v>
      </c>
    </row>
    <row r="319" spans="1:6">
      <c r="A319" s="135">
        <v>4170</v>
      </c>
      <c r="B319" s="136" t="s">
        <v>587</v>
      </c>
      <c r="C319" s="136" t="s">
        <v>588</v>
      </c>
      <c r="D319" s="136" t="s">
        <v>166</v>
      </c>
      <c r="E319" s="136" t="s">
        <v>38</v>
      </c>
      <c r="F319" s="144">
        <v>6460930</v>
      </c>
    </row>
    <row r="320" spans="1:6">
      <c r="A320" s="135">
        <v>1260</v>
      </c>
      <c r="B320" s="136" t="s">
        <v>757</v>
      </c>
      <c r="C320" s="136" t="s">
        <v>588</v>
      </c>
      <c r="D320" s="136" t="s">
        <v>166</v>
      </c>
      <c r="E320" s="136" t="s">
        <v>38</v>
      </c>
      <c r="F320" s="144">
        <v>6460930</v>
      </c>
    </row>
    <row r="321" spans="1:6">
      <c r="A321" s="135">
        <v>3913</v>
      </c>
      <c r="B321" s="136" t="s">
        <v>117</v>
      </c>
      <c r="C321" s="136" t="s">
        <v>118</v>
      </c>
      <c r="D321" s="136" t="s">
        <v>45</v>
      </c>
      <c r="E321" s="136" t="s">
        <v>38</v>
      </c>
      <c r="F321" s="144">
        <v>3076000</v>
      </c>
    </row>
    <row r="322" spans="1:6">
      <c r="A322" s="135">
        <v>6181</v>
      </c>
      <c r="B322" s="136" t="s">
        <v>602</v>
      </c>
      <c r="C322" s="136" t="s">
        <v>118</v>
      </c>
      <c r="D322" s="136" t="s">
        <v>45</v>
      </c>
      <c r="E322" s="136" t="s">
        <v>38</v>
      </c>
      <c r="F322" s="144">
        <v>3670000</v>
      </c>
    </row>
    <row r="323" spans="1:6">
      <c r="A323" s="135">
        <v>3220</v>
      </c>
      <c r="B323" s="136" t="s">
        <v>722</v>
      </c>
      <c r="C323" s="136" t="s">
        <v>723</v>
      </c>
      <c r="D323" s="136" t="s">
        <v>572</v>
      </c>
      <c r="E323" s="136" t="s">
        <v>38</v>
      </c>
      <c r="F323" s="144">
        <v>18065100</v>
      </c>
    </row>
    <row r="324" spans="1:6">
      <c r="A324" s="135">
        <v>4790</v>
      </c>
      <c r="B324" s="136" t="s">
        <v>545</v>
      </c>
      <c r="C324" s="136" t="s">
        <v>546</v>
      </c>
      <c r="D324" s="136" t="s">
        <v>502</v>
      </c>
      <c r="E324" s="136" t="s">
        <v>38</v>
      </c>
      <c r="F324" s="144">
        <v>13403834</v>
      </c>
    </row>
    <row r="325" spans="1:6">
      <c r="A325" s="135">
        <v>3972</v>
      </c>
      <c r="B325" s="136" t="s">
        <v>119</v>
      </c>
      <c r="C325" s="136" t="s">
        <v>120</v>
      </c>
      <c r="D325" s="136" t="s">
        <v>45</v>
      </c>
      <c r="E325" s="136" t="s">
        <v>38</v>
      </c>
      <c r="F325" s="144">
        <v>2304000</v>
      </c>
    </row>
    <row r="326" spans="1:6">
      <c r="A326" s="135">
        <v>6106</v>
      </c>
      <c r="B326" s="136" t="s">
        <v>621</v>
      </c>
      <c r="C326" s="136" t="s">
        <v>622</v>
      </c>
      <c r="D326" s="136" t="s">
        <v>45</v>
      </c>
      <c r="E326" s="136" t="s">
        <v>38</v>
      </c>
      <c r="F326" s="144">
        <v>3203010</v>
      </c>
    </row>
    <row r="327" spans="1:6">
      <c r="A327" s="135">
        <v>2062</v>
      </c>
      <c r="B327" s="136" t="s">
        <v>270</v>
      </c>
      <c r="C327" s="136" t="s">
        <v>271</v>
      </c>
      <c r="D327" s="136" t="s">
        <v>37</v>
      </c>
      <c r="E327" s="136" t="s">
        <v>38</v>
      </c>
      <c r="F327" s="144">
        <v>13094693</v>
      </c>
    </row>
    <row r="328" spans="1:6">
      <c r="A328" s="135">
        <v>4839</v>
      </c>
      <c r="B328" s="136" t="s">
        <v>570</v>
      </c>
      <c r="C328" s="136" t="s">
        <v>571</v>
      </c>
      <c r="D328" s="136" t="s">
        <v>572</v>
      </c>
      <c r="E328" s="136" t="s">
        <v>38</v>
      </c>
      <c r="F328" s="144">
        <v>18060105</v>
      </c>
    </row>
    <row r="329" spans="1:6">
      <c r="A329" s="135">
        <v>6513</v>
      </c>
      <c r="B329" s="136" t="s">
        <v>357</v>
      </c>
      <c r="C329" s="136" t="s">
        <v>358</v>
      </c>
      <c r="D329" s="136" t="s">
        <v>359</v>
      </c>
      <c r="E329" s="136" t="s">
        <v>38</v>
      </c>
      <c r="F329" s="144">
        <v>13566330</v>
      </c>
    </row>
    <row r="330" spans="1:6">
      <c r="A330" s="135">
        <v>4480</v>
      </c>
      <c r="B330" s="136" t="s">
        <v>549</v>
      </c>
      <c r="C330" s="136" t="s">
        <v>550</v>
      </c>
      <c r="D330" s="136" t="s">
        <v>45</v>
      </c>
      <c r="E330" s="136" t="s">
        <v>38</v>
      </c>
      <c r="F330" s="144">
        <v>4794000</v>
      </c>
    </row>
    <row r="331" spans="1:6">
      <c r="A331" s="135">
        <v>1031</v>
      </c>
      <c r="B331" s="136" t="s">
        <v>739</v>
      </c>
      <c r="C331" s="136" t="s">
        <v>740</v>
      </c>
      <c r="D331" s="136" t="s">
        <v>45</v>
      </c>
      <c r="E331" s="136" t="s">
        <v>38</v>
      </c>
      <c r="F331" s="144">
        <v>4794000</v>
      </c>
    </row>
    <row r="332" spans="1:6">
      <c r="A332" s="135">
        <v>4472</v>
      </c>
      <c r="B332" s="136" t="s">
        <v>481</v>
      </c>
      <c r="C332" s="136" t="s">
        <v>482</v>
      </c>
      <c r="D332" s="136" t="s">
        <v>45</v>
      </c>
      <c r="E332" s="136" t="s">
        <v>38</v>
      </c>
      <c r="F332" s="144">
        <v>3295100</v>
      </c>
    </row>
    <row r="333" spans="1:6">
      <c r="A333" s="135">
        <v>4804</v>
      </c>
      <c r="B333" s="136" t="s">
        <v>560</v>
      </c>
      <c r="C333" s="136" t="s">
        <v>561</v>
      </c>
      <c r="D333" s="136" t="s">
        <v>104</v>
      </c>
      <c r="E333" s="136" t="s">
        <v>38</v>
      </c>
      <c r="F333" s="144">
        <v>9110560</v>
      </c>
    </row>
    <row r="334" spans="1:6">
      <c r="A334" s="135">
        <v>6238</v>
      </c>
      <c r="B334" s="136" t="s">
        <v>597</v>
      </c>
      <c r="C334" s="136" t="s">
        <v>598</v>
      </c>
      <c r="D334" s="136" t="s">
        <v>45</v>
      </c>
      <c r="E334" s="136" t="s">
        <v>38</v>
      </c>
      <c r="F334" s="144">
        <v>2063902</v>
      </c>
    </row>
    <row r="335" spans="1:6">
      <c r="A335" s="135">
        <v>1066</v>
      </c>
      <c r="B335" s="136" t="s">
        <v>745</v>
      </c>
      <c r="C335" s="136" t="s">
        <v>598</v>
      </c>
      <c r="D335" s="136" t="s">
        <v>45</v>
      </c>
      <c r="E335" s="136" t="s">
        <v>38</v>
      </c>
      <c r="F335" s="144">
        <v>2063902</v>
      </c>
    </row>
    <row r="336" spans="1:6">
      <c r="A336" s="135">
        <v>4855</v>
      </c>
      <c r="B336" s="136" t="s">
        <v>197</v>
      </c>
      <c r="C336" s="136" t="s">
        <v>198</v>
      </c>
      <c r="D336" s="136" t="s">
        <v>199</v>
      </c>
      <c r="E336" s="136" t="s">
        <v>38</v>
      </c>
      <c r="F336" s="144">
        <v>11701750</v>
      </c>
    </row>
    <row r="337" spans="1:6">
      <c r="A337" s="135">
        <v>4154</v>
      </c>
      <c r="B337" s="136" t="s">
        <v>567</v>
      </c>
      <c r="C337" s="136" t="s">
        <v>568</v>
      </c>
      <c r="D337" s="136" t="s">
        <v>511</v>
      </c>
      <c r="E337" s="136" t="s">
        <v>38</v>
      </c>
      <c r="F337" s="144">
        <v>12220000</v>
      </c>
    </row>
    <row r="338" spans="1:6">
      <c r="A338" s="135">
        <v>4103</v>
      </c>
      <c r="B338" s="136" t="s">
        <v>720</v>
      </c>
      <c r="C338" s="136" t="s">
        <v>568</v>
      </c>
      <c r="D338" s="136" t="s">
        <v>511</v>
      </c>
      <c r="E338" s="136" t="s">
        <v>38</v>
      </c>
      <c r="F338" s="144">
        <v>12220000</v>
      </c>
    </row>
    <row r="339" spans="1:6">
      <c r="A339" s="135">
        <v>4375</v>
      </c>
      <c r="B339" s="136" t="s">
        <v>533</v>
      </c>
      <c r="C339" s="136" t="s">
        <v>534</v>
      </c>
      <c r="D339" s="136" t="s">
        <v>45</v>
      </c>
      <c r="E339" s="136" t="s">
        <v>38</v>
      </c>
      <c r="F339" s="144">
        <v>8260000</v>
      </c>
    </row>
    <row r="340" spans="1:6">
      <c r="A340" s="135">
        <v>6157</v>
      </c>
      <c r="B340" s="136" t="s">
        <v>292</v>
      </c>
      <c r="C340" s="136" t="s">
        <v>293</v>
      </c>
      <c r="D340" s="136" t="s">
        <v>294</v>
      </c>
      <c r="E340" s="136" t="s">
        <v>38</v>
      </c>
      <c r="F340" s="144">
        <v>8683000</v>
      </c>
    </row>
    <row r="341" spans="1:6">
      <c r="A341" s="135">
        <v>5037</v>
      </c>
      <c r="B341" s="136" t="s">
        <v>295</v>
      </c>
      <c r="C341" s="136" t="s">
        <v>296</v>
      </c>
      <c r="D341" s="136" t="s">
        <v>45</v>
      </c>
      <c r="E341" s="136" t="s">
        <v>38</v>
      </c>
      <c r="F341" s="144">
        <v>6327290</v>
      </c>
    </row>
    <row r="342" spans="1:6">
      <c r="A342" s="135">
        <v>4987</v>
      </c>
      <c r="B342" s="136" t="s">
        <v>326</v>
      </c>
      <c r="C342" s="136" t="s">
        <v>296</v>
      </c>
      <c r="D342" s="136" t="s">
        <v>45</v>
      </c>
      <c r="E342" s="136" t="s">
        <v>38</v>
      </c>
      <c r="F342" s="144">
        <v>2063000</v>
      </c>
    </row>
    <row r="343" spans="1:6">
      <c r="A343" s="135">
        <v>6041</v>
      </c>
      <c r="B343" s="136" t="s">
        <v>636</v>
      </c>
      <c r="C343" s="136" t="s">
        <v>637</v>
      </c>
      <c r="D343" s="136" t="s">
        <v>45</v>
      </c>
      <c r="E343" s="136" t="s">
        <v>38</v>
      </c>
      <c r="F343" s="144">
        <v>4287010</v>
      </c>
    </row>
    <row r="344" spans="1:6">
      <c r="A344" s="135">
        <v>3298</v>
      </c>
      <c r="B344" s="136" t="s">
        <v>228</v>
      </c>
      <c r="C344" s="136" t="s">
        <v>229</v>
      </c>
      <c r="D344" s="136" t="s">
        <v>230</v>
      </c>
      <c r="E344" s="136" t="s">
        <v>38</v>
      </c>
      <c r="F344" s="144">
        <v>13322060</v>
      </c>
    </row>
    <row r="345" spans="1:6">
      <c r="A345" s="135">
        <v>4847</v>
      </c>
      <c r="B345" s="136" t="s">
        <v>581</v>
      </c>
      <c r="C345" s="136" t="s">
        <v>229</v>
      </c>
      <c r="D345" s="136" t="s">
        <v>230</v>
      </c>
      <c r="E345" s="136" t="s">
        <v>38</v>
      </c>
      <c r="F345" s="144">
        <v>13322060</v>
      </c>
    </row>
    <row r="346" spans="1:6">
      <c r="A346" s="135">
        <v>3999</v>
      </c>
      <c r="B346" s="136" t="s">
        <v>643</v>
      </c>
      <c r="C346" s="136" t="s">
        <v>644</v>
      </c>
      <c r="D346" s="136" t="s">
        <v>45</v>
      </c>
      <c r="E346" s="136" t="s">
        <v>38</v>
      </c>
      <c r="F346" s="144">
        <v>4547005</v>
      </c>
    </row>
    <row r="347" spans="1:6">
      <c r="A347" s="135">
        <v>1465</v>
      </c>
      <c r="B347" s="136" t="s">
        <v>758</v>
      </c>
      <c r="C347" s="136" t="s">
        <v>759</v>
      </c>
      <c r="D347" s="136" t="s">
        <v>45</v>
      </c>
      <c r="E347" s="136" t="s">
        <v>38</v>
      </c>
      <c r="F347" s="144">
        <v>3342000</v>
      </c>
    </row>
    <row r="348" spans="1:6">
      <c r="A348" s="135">
        <v>5070</v>
      </c>
      <c r="B348" s="136" t="s">
        <v>321</v>
      </c>
      <c r="C348" s="136" t="s">
        <v>322</v>
      </c>
      <c r="D348" s="136" t="s">
        <v>323</v>
      </c>
      <c r="E348" s="136" t="s">
        <v>38</v>
      </c>
      <c r="F348" s="144">
        <v>15014150</v>
      </c>
    </row>
    <row r="349" spans="1:6">
      <c r="A349" s="135">
        <v>3611</v>
      </c>
      <c r="B349" s="136" t="s">
        <v>704</v>
      </c>
      <c r="C349" s="136" t="s">
        <v>705</v>
      </c>
      <c r="D349" s="136" t="s">
        <v>135</v>
      </c>
      <c r="E349" s="136" t="s">
        <v>38</v>
      </c>
      <c r="F349" s="144">
        <v>6278000</v>
      </c>
    </row>
    <row r="350" spans="1:6">
      <c r="A350" s="135">
        <v>4464</v>
      </c>
      <c r="B350" s="136" t="s">
        <v>479</v>
      </c>
      <c r="C350" s="136" t="s">
        <v>480</v>
      </c>
      <c r="D350" s="136" t="s">
        <v>45</v>
      </c>
      <c r="E350" s="136" t="s">
        <v>38</v>
      </c>
      <c r="F350" s="144">
        <v>5641000</v>
      </c>
    </row>
    <row r="351" spans="1:6">
      <c r="A351" s="135">
        <v>6491</v>
      </c>
      <c r="B351" s="136" t="s">
        <v>389</v>
      </c>
      <c r="C351" s="136" t="s">
        <v>390</v>
      </c>
      <c r="D351" s="136" t="s">
        <v>45</v>
      </c>
      <c r="E351" s="136" t="s">
        <v>38</v>
      </c>
      <c r="F351" s="144">
        <v>5690000</v>
      </c>
    </row>
    <row r="352" spans="1:6">
      <c r="A352" s="135">
        <v>6602</v>
      </c>
      <c r="B352" s="136" t="s">
        <v>345</v>
      </c>
      <c r="C352" s="136" t="s">
        <v>346</v>
      </c>
      <c r="D352" s="136" t="s">
        <v>205</v>
      </c>
      <c r="E352" s="136" t="s">
        <v>38</v>
      </c>
      <c r="F352" s="144">
        <v>14030000</v>
      </c>
    </row>
    <row r="353" spans="1:6">
      <c r="A353" s="135">
        <v>3778</v>
      </c>
      <c r="B353" s="136" t="s">
        <v>458</v>
      </c>
      <c r="C353" s="136" t="s">
        <v>459</v>
      </c>
      <c r="D353" s="136" t="s">
        <v>460</v>
      </c>
      <c r="E353" s="136" t="s">
        <v>38</v>
      </c>
      <c r="F353" s="144">
        <v>9617090</v>
      </c>
    </row>
    <row r="354" spans="1:6">
      <c r="A354" s="135">
        <v>1430</v>
      </c>
      <c r="B354" s="136" t="s">
        <v>428</v>
      </c>
      <c r="C354" s="136" t="s">
        <v>429</v>
      </c>
      <c r="D354" s="136" t="s">
        <v>135</v>
      </c>
      <c r="E354" s="136" t="s">
        <v>38</v>
      </c>
      <c r="F354" s="144">
        <v>6020015</v>
      </c>
    </row>
    <row r="355" spans="1:6">
      <c r="A355" s="135">
        <v>4715</v>
      </c>
      <c r="B355" s="136" t="s">
        <v>540</v>
      </c>
      <c r="C355" s="136" t="s">
        <v>429</v>
      </c>
      <c r="D355" s="136" t="s">
        <v>135</v>
      </c>
      <c r="E355" s="136" t="s">
        <v>38</v>
      </c>
      <c r="F355" s="144">
        <v>6020010</v>
      </c>
    </row>
    <row r="356" spans="1:6">
      <c r="A356" s="135">
        <v>1341</v>
      </c>
      <c r="B356" s="136" t="s">
        <v>599</v>
      </c>
      <c r="C356" s="136" t="s">
        <v>429</v>
      </c>
      <c r="D356" s="136" t="s">
        <v>135</v>
      </c>
      <c r="E356" s="136" t="s">
        <v>38</v>
      </c>
      <c r="F356" s="144">
        <v>6020015</v>
      </c>
    </row>
    <row r="357" spans="1:6">
      <c r="A357" s="135">
        <v>2046</v>
      </c>
      <c r="B357" s="136" t="s">
        <v>268</v>
      </c>
      <c r="C357" s="136" t="s">
        <v>269</v>
      </c>
      <c r="D357" s="136" t="s">
        <v>45</v>
      </c>
      <c r="E357" s="136" t="s">
        <v>38</v>
      </c>
      <c r="F357" s="144">
        <v>2049010</v>
      </c>
    </row>
    <row r="358" spans="1:6">
      <c r="A358" s="135">
        <v>3395</v>
      </c>
      <c r="B358" s="136" t="s">
        <v>746</v>
      </c>
      <c r="C358" s="136" t="s">
        <v>747</v>
      </c>
      <c r="D358" s="136" t="s">
        <v>45</v>
      </c>
      <c r="E358" s="136" t="s">
        <v>38</v>
      </c>
      <c r="F358" s="144">
        <v>5317000</v>
      </c>
    </row>
    <row r="359" spans="1:6">
      <c r="A359" s="135">
        <v>1929</v>
      </c>
      <c r="B359" s="136" t="s">
        <v>748</v>
      </c>
      <c r="C359" s="136" t="s">
        <v>747</v>
      </c>
      <c r="D359" s="136" t="s">
        <v>45</v>
      </c>
      <c r="E359" s="136" t="s">
        <v>38</v>
      </c>
      <c r="F359" s="144">
        <v>5690900</v>
      </c>
    </row>
    <row r="360" spans="1:6">
      <c r="A360" s="135">
        <v>78</v>
      </c>
      <c r="B360" s="136" t="s">
        <v>207</v>
      </c>
      <c r="C360" s="136" t="s">
        <v>208</v>
      </c>
      <c r="D360" s="136" t="s">
        <v>209</v>
      </c>
      <c r="E360" s="136" t="s">
        <v>38</v>
      </c>
      <c r="F360" s="144">
        <v>19013030</v>
      </c>
    </row>
    <row r="361" spans="1:6">
      <c r="A361" s="135">
        <v>1554</v>
      </c>
      <c r="B361" s="136" t="s">
        <v>149</v>
      </c>
      <c r="C361" s="136" t="s">
        <v>150</v>
      </c>
      <c r="D361" s="136" t="s">
        <v>135</v>
      </c>
      <c r="E361" s="136" t="s">
        <v>38</v>
      </c>
      <c r="F361" s="144">
        <v>6020015</v>
      </c>
    </row>
    <row r="362" spans="1:6" ht="15.75" thickBot="1">
      <c r="A362" s="137">
        <v>1457</v>
      </c>
      <c r="B362" s="138" t="s">
        <v>352</v>
      </c>
      <c r="C362" s="138" t="s">
        <v>353</v>
      </c>
      <c r="D362" s="138" t="s">
        <v>82</v>
      </c>
      <c r="E362" s="138" t="s">
        <v>38</v>
      </c>
      <c r="F362" s="145">
        <v>7124000</v>
      </c>
    </row>
  </sheetData>
  <sortState ref="A2:F362">
    <sortCondition ref="E2:E36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Q603"/>
  <sheetViews>
    <sheetView workbookViewId="0">
      <selection activeCell="B2" sqref="B2"/>
    </sheetView>
  </sheetViews>
  <sheetFormatPr defaultColWidth="9.140625" defaultRowHeight="15"/>
  <cols>
    <col min="1" max="1" width="11.28515625" style="82" bestFit="1" customWidth="1"/>
    <col min="2" max="2" width="12.42578125" style="82" bestFit="1" customWidth="1"/>
    <col min="3" max="3" width="10.140625" style="82" bestFit="1" customWidth="1"/>
    <col min="4" max="4" width="19.5703125" style="131" bestFit="1" customWidth="1"/>
    <col min="5" max="6" width="24.28515625" style="82" bestFit="1" customWidth="1"/>
    <col min="7" max="7" width="5.5703125" style="82" customWidth="1"/>
    <col min="8" max="8" width="7.85546875" style="82" bestFit="1" customWidth="1"/>
    <col min="9" max="16384" width="9.140625" style="78"/>
  </cols>
  <sheetData>
    <row r="1" spans="1:17" ht="15.75" thickBot="1">
      <c r="A1" s="147" t="s">
        <v>764</v>
      </c>
      <c r="B1" s="148" t="s">
        <v>765</v>
      </c>
      <c r="C1" s="148" t="s">
        <v>766</v>
      </c>
      <c r="D1" s="149" t="s">
        <v>767</v>
      </c>
      <c r="E1" s="148" t="s">
        <v>768</v>
      </c>
      <c r="F1" s="148" t="s">
        <v>769</v>
      </c>
      <c r="G1" s="148" t="s">
        <v>34</v>
      </c>
      <c r="H1" s="150" t="s">
        <v>770</v>
      </c>
    </row>
    <row r="2" spans="1:17">
      <c r="A2" s="151"/>
      <c r="B2" s="152"/>
      <c r="C2" s="152"/>
      <c r="D2" s="152" t="s">
        <v>1150</v>
      </c>
      <c r="E2" s="152"/>
      <c r="F2" s="152"/>
      <c r="G2" s="152" t="s">
        <v>38</v>
      </c>
      <c r="H2" s="152"/>
      <c r="J2" s="147"/>
      <c r="K2" s="148"/>
      <c r="L2" s="148"/>
      <c r="M2" s="149"/>
      <c r="N2" s="148"/>
      <c r="O2" s="148"/>
      <c r="P2" s="148"/>
      <c r="Q2" s="150"/>
    </row>
    <row r="3" spans="1:17">
      <c r="A3" s="151"/>
      <c r="B3" s="152"/>
      <c r="C3" s="84"/>
      <c r="D3" s="153"/>
      <c r="E3" s="84"/>
      <c r="F3" s="84"/>
      <c r="G3" s="84"/>
      <c r="H3" s="154"/>
      <c r="J3" s="151"/>
      <c r="K3" s="152"/>
      <c r="L3" s="152"/>
      <c r="M3" s="152"/>
      <c r="N3" s="152"/>
      <c r="O3" s="152"/>
      <c r="P3" s="152"/>
      <c r="Q3" s="152"/>
    </row>
    <row r="4" spans="1:17" ht="15.75" thickBot="1">
      <c r="A4" s="155"/>
      <c r="B4" s="152"/>
      <c r="C4" s="156"/>
      <c r="D4" s="157"/>
      <c r="E4" s="156"/>
      <c r="F4" s="156"/>
      <c r="G4" s="156"/>
      <c r="H4" s="158"/>
    </row>
    <row r="7" spans="1:17">
      <c r="A7" s="159" t="s">
        <v>764</v>
      </c>
      <c r="B7" s="159" t="s">
        <v>765</v>
      </c>
      <c r="C7" s="159" t="s">
        <v>766</v>
      </c>
      <c r="D7" s="160" t="s">
        <v>1133</v>
      </c>
      <c r="E7" s="159" t="s">
        <v>768</v>
      </c>
      <c r="F7" s="159" t="s">
        <v>769</v>
      </c>
      <c r="G7" s="159" t="s">
        <v>34</v>
      </c>
      <c r="H7" s="159" t="s">
        <v>770</v>
      </c>
    </row>
    <row r="8" spans="1:17">
      <c r="A8" s="152" t="s">
        <v>771</v>
      </c>
      <c r="B8" s="152" t="s">
        <v>772</v>
      </c>
      <c r="C8" s="152" t="s">
        <v>773</v>
      </c>
      <c r="D8" s="161">
        <v>5477</v>
      </c>
      <c r="E8" s="136" t="s">
        <v>37</v>
      </c>
      <c r="F8" s="136" t="s">
        <v>36</v>
      </c>
      <c r="G8" s="136" t="s">
        <v>38</v>
      </c>
      <c r="H8" s="152" t="s">
        <v>774</v>
      </c>
    </row>
    <row r="9" spans="1:17">
      <c r="A9" s="152" t="s">
        <v>771</v>
      </c>
      <c r="B9" s="152" t="s">
        <v>775</v>
      </c>
      <c r="C9" s="152" t="s">
        <v>776</v>
      </c>
      <c r="D9" s="161">
        <v>5580.2</v>
      </c>
      <c r="E9" s="136" t="s">
        <v>41</v>
      </c>
      <c r="F9" s="136" t="s">
        <v>40</v>
      </c>
      <c r="G9" s="136" t="s">
        <v>42</v>
      </c>
      <c r="H9" s="152" t="s">
        <v>777</v>
      </c>
    </row>
    <row r="10" spans="1:17">
      <c r="A10" s="152" t="s">
        <v>771</v>
      </c>
      <c r="B10" s="152" t="s">
        <v>772</v>
      </c>
      <c r="C10" s="152" t="s">
        <v>773</v>
      </c>
      <c r="D10" s="161">
        <v>5683.4</v>
      </c>
      <c r="E10" s="136" t="s">
        <v>45</v>
      </c>
      <c r="F10" s="136" t="s">
        <v>44</v>
      </c>
      <c r="G10" s="136" t="s">
        <v>38</v>
      </c>
      <c r="H10" s="152" t="s">
        <v>774</v>
      </c>
    </row>
    <row r="11" spans="1:17">
      <c r="A11" s="152" t="s">
        <v>771</v>
      </c>
      <c r="B11" s="152" t="s">
        <v>772</v>
      </c>
      <c r="C11" s="152" t="s">
        <v>773</v>
      </c>
      <c r="D11" s="161">
        <v>5786.6</v>
      </c>
      <c r="E11" s="136" t="s">
        <v>48</v>
      </c>
      <c r="F11" s="136" t="s">
        <v>47</v>
      </c>
      <c r="G11" s="136" t="s">
        <v>49</v>
      </c>
      <c r="H11" s="152" t="s">
        <v>778</v>
      </c>
    </row>
    <row r="12" spans="1:17">
      <c r="A12" s="152" t="s">
        <v>771</v>
      </c>
      <c r="B12" s="152" t="s">
        <v>775</v>
      </c>
      <c r="C12" s="152" t="s">
        <v>776</v>
      </c>
      <c r="D12" s="161">
        <v>5889.8</v>
      </c>
      <c r="E12" s="136" t="s">
        <v>52</v>
      </c>
      <c r="F12" s="136" t="s">
        <v>51</v>
      </c>
      <c r="G12" s="136" t="s">
        <v>53</v>
      </c>
      <c r="H12" s="152" t="s">
        <v>778</v>
      </c>
    </row>
    <row r="13" spans="1:17">
      <c r="A13" s="152" t="s">
        <v>779</v>
      </c>
      <c r="B13" s="152" t="s">
        <v>772</v>
      </c>
      <c r="C13" s="152" t="s">
        <v>773</v>
      </c>
      <c r="D13" s="161">
        <v>5993</v>
      </c>
      <c r="E13" s="136" t="s">
        <v>56</v>
      </c>
      <c r="F13" s="136" t="s">
        <v>55</v>
      </c>
      <c r="G13" s="136" t="s">
        <v>57</v>
      </c>
      <c r="H13" s="152" t="s">
        <v>777</v>
      </c>
    </row>
    <row r="14" spans="1:17">
      <c r="A14" s="152" t="s">
        <v>779</v>
      </c>
      <c r="B14" s="152" t="s">
        <v>775</v>
      </c>
      <c r="C14" s="152" t="s">
        <v>776</v>
      </c>
      <c r="D14" s="161">
        <v>6096.2</v>
      </c>
      <c r="E14" s="136" t="s">
        <v>45</v>
      </c>
      <c r="F14" s="136" t="s">
        <v>59</v>
      </c>
      <c r="G14" s="136" t="s">
        <v>38</v>
      </c>
      <c r="H14" s="152" t="s">
        <v>778</v>
      </c>
    </row>
    <row r="15" spans="1:17">
      <c r="A15" s="152" t="s">
        <v>779</v>
      </c>
      <c r="B15" s="152" t="s">
        <v>775</v>
      </c>
      <c r="C15" s="152" t="s">
        <v>776</v>
      </c>
      <c r="D15" s="161">
        <v>6199.4</v>
      </c>
      <c r="E15" s="136" t="s">
        <v>62</v>
      </c>
      <c r="F15" s="136" t="s">
        <v>61</v>
      </c>
      <c r="G15" s="136" t="s">
        <v>63</v>
      </c>
      <c r="H15" s="152" t="s">
        <v>777</v>
      </c>
    </row>
    <row r="16" spans="1:17">
      <c r="A16" s="152" t="s">
        <v>779</v>
      </c>
      <c r="B16" s="152" t="s">
        <v>775</v>
      </c>
      <c r="C16" s="152" t="s">
        <v>773</v>
      </c>
      <c r="D16" s="161">
        <v>6302.6</v>
      </c>
      <c r="E16" s="136" t="s">
        <v>66</v>
      </c>
      <c r="F16" s="136" t="s">
        <v>65</v>
      </c>
      <c r="G16" s="136" t="s">
        <v>38</v>
      </c>
      <c r="H16" s="152" t="s">
        <v>778</v>
      </c>
    </row>
    <row r="17" spans="1:8">
      <c r="A17" s="152" t="s">
        <v>779</v>
      </c>
      <c r="B17" s="152" t="s">
        <v>772</v>
      </c>
      <c r="C17" s="152" t="s">
        <v>776</v>
      </c>
      <c r="D17" s="161">
        <v>6405.8</v>
      </c>
      <c r="E17" s="136" t="s">
        <v>69</v>
      </c>
      <c r="F17" s="136" t="s">
        <v>68</v>
      </c>
      <c r="G17" s="136" t="s">
        <v>70</v>
      </c>
      <c r="H17" s="152" t="s">
        <v>780</v>
      </c>
    </row>
    <row r="18" spans="1:8">
      <c r="A18" s="152" t="s">
        <v>779</v>
      </c>
      <c r="B18" s="152" t="s">
        <v>772</v>
      </c>
      <c r="C18" s="152" t="s">
        <v>776</v>
      </c>
      <c r="D18" s="161">
        <v>6509</v>
      </c>
      <c r="E18" s="136" t="s">
        <v>73</v>
      </c>
      <c r="F18" s="136" t="s">
        <v>72</v>
      </c>
      <c r="G18" s="136" t="s">
        <v>38</v>
      </c>
      <c r="H18" s="152" t="s">
        <v>774</v>
      </c>
    </row>
    <row r="19" spans="1:8">
      <c r="A19" s="152" t="s">
        <v>779</v>
      </c>
      <c r="B19" s="152" t="s">
        <v>775</v>
      </c>
      <c r="C19" s="152" t="s">
        <v>776</v>
      </c>
      <c r="D19" s="161">
        <v>6612.2</v>
      </c>
      <c r="E19" s="136" t="s">
        <v>76</v>
      </c>
      <c r="F19" s="136" t="s">
        <v>75</v>
      </c>
      <c r="G19" s="136" t="s">
        <v>77</v>
      </c>
      <c r="H19" s="152" t="s">
        <v>780</v>
      </c>
    </row>
    <row r="20" spans="1:8">
      <c r="A20" s="162" t="s">
        <v>781</v>
      </c>
      <c r="B20" s="162" t="s">
        <v>772</v>
      </c>
      <c r="C20" s="162" t="s">
        <v>782</v>
      </c>
      <c r="D20" s="161">
        <v>6715.4</v>
      </c>
      <c r="E20" s="136" t="s">
        <v>45</v>
      </c>
      <c r="F20" s="136" t="s">
        <v>79</v>
      </c>
      <c r="G20" s="136" t="s">
        <v>38</v>
      </c>
      <c r="H20" s="162" t="s">
        <v>774</v>
      </c>
    </row>
    <row r="21" spans="1:8">
      <c r="A21" s="162" t="s">
        <v>781</v>
      </c>
      <c r="B21" s="162" t="s">
        <v>775</v>
      </c>
      <c r="C21" s="162" t="s">
        <v>782</v>
      </c>
      <c r="D21" s="161">
        <v>6818.6</v>
      </c>
      <c r="E21" s="136" t="s">
        <v>82</v>
      </c>
      <c r="F21" s="136" t="s">
        <v>81</v>
      </c>
      <c r="G21" s="136" t="s">
        <v>38</v>
      </c>
      <c r="H21" s="162" t="s">
        <v>778</v>
      </c>
    </row>
    <row r="22" spans="1:8">
      <c r="A22" s="162" t="s">
        <v>781</v>
      </c>
      <c r="B22" s="162" t="s">
        <v>772</v>
      </c>
      <c r="C22" s="162" t="s">
        <v>783</v>
      </c>
      <c r="D22" s="161">
        <v>6895.9000000000005</v>
      </c>
      <c r="E22" s="136" t="s">
        <v>85</v>
      </c>
      <c r="F22" s="136" t="s">
        <v>84</v>
      </c>
      <c r="G22" s="136" t="s">
        <v>86</v>
      </c>
      <c r="H22" s="162" t="s">
        <v>778</v>
      </c>
    </row>
    <row r="23" spans="1:8">
      <c r="A23" s="162" t="s">
        <v>781</v>
      </c>
      <c r="B23" s="162" t="s">
        <v>775</v>
      </c>
      <c r="C23" s="162" t="s">
        <v>782</v>
      </c>
      <c r="D23" s="161">
        <v>6973.2000000000007</v>
      </c>
      <c r="E23" s="136" t="s">
        <v>89</v>
      </c>
      <c r="F23" s="136" t="s">
        <v>88</v>
      </c>
      <c r="G23" s="136" t="s">
        <v>86</v>
      </c>
      <c r="H23" s="162" t="s">
        <v>780</v>
      </c>
    </row>
    <row r="24" spans="1:8">
      <c r="A24" s="162" t="s">
        <v>781</v>
      </c>
      <c r="B24" s="162" t="s">
        <v>772</v>
      </c>
      <c r="C24" s="162" t="s">
        <v>776</v>
      </c>
      <c r="D24" s="161">
        <v>7050.5</v>
      </c>
      <c r="E24" s="136" t="s">
        <v>85</v>
      </c>
      <c r="F24" s="136" t="s">
        <v>91</v>
      </c>
      <c r="G24" s="136" t="s">
        <v>86</v>
      </c>
      <c r="H24" s="162" t="s">
        <v>780</v>
      </c>
    </row>
    <row r="25" spans="1:8">
      <c r="A25" s="162" t="s">
        <v>784</v>
      </c>
      <c r="B25" s="152" t="s">
        <v>772</v>
      </c>
      <c r="C25" s="152" t="s">
        <v>773</v>
      </c>
      <c r="D25" s="161">
        <v>7127.8</v>
      </c>
      <c r="E25" s="136" t="s">
        <v>85</v>
      </c>
      <c r="F25" s="136" t="s">
        <v>93</v>
      </c>
      <c r="G25" s="136" t="s">
        <v>86</v>
      </c>
      <c r="H25" s="152" t="s">
        <v>774</v>
      </c>
    </row>
    <row r="26" spans="1:8">
      <c r="A26" s="162" t="s">
        <v>784</v>
      </c>
      <c r="B26" s="152" t="s">
        <v>775</v>
      </c>
      <c r="C26" s="152" t="s">
        <v>776</v>
      </c>
      <c r="D26" s="161">
        <v>7205.1</v>
      </c>
      <c r="E26" s="136" t="s">
        <v>85</v>
      </c>
      <c r="F26" s="136" t="s">
        <v>95</v>
      </c>
      <c r="G26" s="136" t="s">
        <v>86</v>
      </c>
      <c r="H26" s="152" t="s">
        <v>777</v>
      </c>
    </row>
    <row r="27" spans="1:8">
      <c r="A27" s="162" t="s">
        <v>784</v>
      </c>
      <c r="B27" s="152" t="s">
        <v>772</v>
      </c>
      <c r="C27" s="152" t="s">
        <v>773</v>
      </c>
      <c r="D27" s="161">
        <v>7282.4000000000005</v>
      </c>
      <c r="E27" s="136" t="s">
        <v>45</v>
      </c>
      <c r="F27" s="136" t="s">
        <v>97</v>
      </c>
      <c r="G27" s="136" t="s">
        <v>38</v>
      </c>
      <c r="H27" s="152" t="s">
        <v>774</v>
      </c>
    </row>
    <row r="28" spans="1:8">
      <c r="A28" s="162" t="s">
        <v>784</v>
      </c>
      <c r="B28" s="152" t="s">
        <v>772</v>
      </c>
      <c r="C28" s="152" t="s">
        <v>773</v>
      </c>
      <c r="D28" s="161">
        <v>7359.7000000000007</v>
      </c>
      <c r="E28" s="136" t="s">
        <v>45</v>
      </c>
      <c r="F28" s="136" t="s">
        <v>99</v>
      </c>
      <c r="G28" s="136" t="s">
        <v>38</v>
      </c>
      <c r="H28" s="152" t="s">
        <v>778</v>
      </c>
    </row>
    <row r="29" spans="1:8">
      <c r="A29" s="162" t="s">
        <v>784</v>
      </c>
      <c r="B29" s="152" t="s">
        <v>775</v>
      </c>
      <c r="C29" s="152" t="s">
        <v>776</v>
      </c>
      <c r="D29" s="161">
        <v>7437</v>
      </c>
      <c r="E29" s="136" t="s">
        <v>45</v>
      </c>
      <c r="F29" s="136" t="s">
        <v>101</v>
      </c>
      <c r="G29" s="136" t="s">
        <v>38</v>
      </c>
      <c r="H29" s="152" t="s">
        <v>778</v>
      </c>
    </row>
    <row r="30" spans="1:8">
      <c r="A30" s="162" t="s">
        <v>784</v>
      </c>
      <c r="B30" s="152" t="s">
        <v>772</v>
      </c>
      <c r="C30" s="152" t="s">
        <v>773</v>
      </c>
      <c r="D30" s="161">
        <v>7514.3</v>
      </c>
      <c r="E30" s="136" t="s">
        <v>104</v>
      </c>
      <c r="F30" s="136" t="s">
        <v>103</v>
      </c>
      <c r="G30" s="136" t="s">
        <v>38</v>
      </c>
      <c r="H30" s="152" t="s">
        <v>778</v>
      </c>
    </row>
    <row r="31" spans="1:8">
      <c r="A31" s="162" t="s">
        <v>784</v>
      </c>
      <c r="B31" s="152" t="s">
        <v>775</v>
      </c>
      <c r="C31" s="152" t="s">
        <v>776</v>
      </c>
      <c r="D31" s="161">
        <v>7591.6</v>
      </c>
      <c r="E31" s="136" t="s">
        <v>76</v>
      </c>
      <c r="F31" s="136" t="s">
        <v>106</v>
      </c>
      <c r="G31" s="136" t="s">
        <v>77</v>
      </c>
      <c r="H31" s="152" t="s">
        <v>778</v>
      </c>
    </row>
    <row r="32" spans="1:8">
      <c r="A32" s="162" t="s">
        <v>784</v>
      </c>
      <c r="B32" s="152" t="s">
        <v>772</v>
      </c>
      <c r="C32" s="152" t="s">
        <v>773</v>
      </c>
      <c r="D32" s="161">
        <v>7668.9000000000005</v>
      </c>
      <c r="E32" s="136" t="s">
        <v>45</v>
      </c>
      <c r="F32" s="136" t="s">
        <v>108</v>
      </c>
      <c r="G32" s="136" t="s">
        <v>38</v>
      </c>
      <c r="H32" s="152" t="s">
        <v>777</v>
      </c>
    </row>
    <row r="33" spans="1:8">
      <c r="A33" s="162" t="s">
        <v>784</v>
      </c>
      <c r="B33" s="152" t="s">
        <v>775</v>
      </c>
      <c r="C33" s="152" t="s">
        <v>776</v>
      </c>
      <c r="D33" s="161">
        <v>7746.2000000000007</v>
      </c>
      <c r="E33" s="136" t="s">
        <v>76</v>
      </c>
      <c r="F33" s="136" t="s">
        <v>110</v>
      </c>
      <c r="G33" s="136" t="s">
        <v>77</v>
      </c>
      <c r="H33" s="152" t="s">
        <v>774</v>
      </c>
    </row>
    <row r="34" spans="1:8">
      <c r="A34" s="162" t="s">
        <v>784</v>
      </c>
      <c r="B34" s="152" t="s">
        <v>772</v>
      </c>
      <c r="C34" s="152" t="s">
        <v>773</v>
      </c>
      <c r="D34" s="161">
        <v>7823.5</v>
      </c>
      <c r="E34" s="136" t="s">
        <v>113</v>
      </c>
      <c r="F34" s="136" t="s">
        <v>112</v>
      </c>
      <c r="G34" s="136" t="s">
        <v>38</v>
      </c>
      <c r="H34" s="152" t="s">
        <v>778</v>
      </c>
    </row>
    <row r="35" spans="1:8">
      <c r="A35" s="162" t="s">
        <v>784</v>
      </c>
      <c r="B35" s="152" t="s">
        <v>772</v>
      </c>
      <c r="C35" s="152" t="s">
        <v>773</v>
      </c>
      <c r="D35" s="161">
        <v>7900.8</v>
      </c>
      <c r="E35" s="136" t="s">
        <v>116</v>
      </c>
      <c r="F35" s="136" t="s">
        <v>115</v>
      </c>
      <c r="G35" s="136" t="s">
        <v>77</v>
      </c>
      <c r="H35" s="152" t="s">
        <v>778</v>
      </c>
    </row>
    <row r="36" spans="1:8">
      <c r="A36" s="162" t="s">
        <v>784</v>
      </c>
      <c r="B36" s="152" t="s">
        <v>775</v>
      </c>
      <c r="C36" s="152" t="s">
        <v>776</v>
      </c>
      <c r="D36" s="161">
        <v>7978.1</v>
      </c>
      <c r="E36" s="136" t="s">
        <v>45</v>
      </c>
      <c r="F36" s="136" t="s">
        <v>118</v>
      </c>
      <c r="G36" s="136" t="s">
        <v>38</v>
      </c>
      <c r="H36" s="152" t="s">
        <v>777</v>
      </c>
    </row>
    <row r="37" spans="1:8">
      <c r="A37" s="162" t="s">
        <v>784</v>
      </c>
      <c r="B37" s="152" t="s">
        <v>772</v>
      </c>
      <c r="C37" s="152" t="s">
        <v>773</v>
      </c>
      <c r="D37" s="161">
        <v>8055.4000000000005</v>
      </c>
      <c r="E37" s="136" t="s">
        <v>45</v>
      </c>
      <c r="F37" s="136" t="s">
        <v>120</v>
      </c>
      <c r="G37" s="136" t="s">
        <v>38</v>
      </c>
      <c r="H37" s="152" t="s">
        <v>778</v>
      </c>
    </row>
    <row r="38" spans="1:8">
      <c r="A38" s="162" t="s">
        <v>784</v>
      </c>
      <c r="B38" s="152" t="s">
        <v>775</v>
      </c>
      <c r="C38" s="152" t="s">
        <v>776</v>
      </c>
      <c r="D38" s="161">
        <v>8132.7000000000007</v>
      </c>
      <c r="E38" s="136" t="s">
        <v>123</v>
      </c>
      <c r="F38" s="136" t="s">
        <v>122</v>
      </c>
      <c r="G38" s="136" t="s">
        <v>57</v>
      </c>
      <c r="H38" s="152" t="s">
        <v>777</v>
      </c>
    </row>
    <row r="39" spans="1:8">
      <c r="A39" s="162" t="s">
        <v>784</v>
      </c>
      <c r="B39" s="152" t="s">
        <v>775</v>
      </c>
      <c r="C39" s="152" t="s">
        <v>776</v>
      </c>
      <c r="D39" s="161">
        <v>8210</v>
      </c>
      <c r="E39" s="136" t="s">
        <v>37</v>
      </c>
      <c r="F39" s="136" t="s">
        <v>125</v>
      </c>
      <c r="G39" s="136" t="s">
        <v>38</v>
      </c>
      <c r="H39" s="152" t="s">
        <v>778</v>
      </c>
    </row>
    <row r="40" spans="1:8">
      <c r="A40" s="162" t="s">
        <v>784</v>
      </c>
      <c r="B40" s="152" t="s">
        <v>775</v>
      </c>
      <c r="C40" s="152" t="s">
        <v>773</v>
      </c>
      <c r="D40" s="161">
        <v>8287.3000000000011</v>
      </c>
      <c r="E40" s="136" t="s">
        <v>127</v>
      </c>
      <c r="F40" s="136" t="s">
        <v>110</v>
      </c>
      <c r="G40" s="136" t="s">
        <v>57</v>
      </c>
      <c r="H40" s="152" t="s">
        <v>780</v>
      </c>
    </row>
    <row r="41" spans="1:8">
      <c r="A41" s="162" t="s">
        <v>784</v>
      </c>
      <c r="B41" s="152" t="s">
        <v>772</v>
      </c>
      <c r="C41" s="152" t="s">
        <v>776</v>
      </c>
      <c r="D41" s="161">
        <v>8364.6</v>
      </c>
      <c r="E41" s="136" t="s">
        <v>45</v>
      </c>
      <c r="F41" s="136" t="s">
        <v>129</v>
      </c>
      <c r="G41" s="136" t="s">
        <v>38</v>
      </c>
      <c r="H41" s="152" t="s">
        <v>774</v>
      </c>
    </row>
    <row r="42" spans="1:8">
      <c r="A42" s="162" t="s">
        <v>784</v>
      </c>
      <c r="B42" s="152" t="s">
        <v>772</v>
      </c>
      <c r="C42" s="152" t="s">
        <v>776</v>
      </c>
      <c r="D42" s="161">
        <v>8441.9</v>
      </c>
      <c r="E42" s="136" t="s">
        <v>37</v>
      </c>
      <c r="F42" s="136" t="s">
        <v>125</v>
      </c>
      <c r="G42" s="136" t="s">
        <v>38</v>
      </c>
      <c r="H42" s="152" t="s">
        <v>780</v>
      </c>
    </row>
    <row r="43" spans="1:8">
      <c r="A43" s="162" t="s">
        <v>784</v>
      </c>
      <c r="B43" s="152" t="s">
        <v>775</v>
      </c>
      <c r="C43" s="152" t="s">
        <v>776</v>
      </c>
      <c r="D43" s="161">
        <v>8519.2000000000007</v>
      </c>
      <c r="E43" s="136" t="s">
        <v>56</v>
      </c>
      <c r="F43" s="136" t="s">
        <v>132</v>
      </c>
      <c r="G43" s="136" t="s">
        <v>57</v>
      </c>
      <c r="H43" s="162" t="s">
        <v>774</v>
      </c>
    </row>
    <row r="44" spans="1:8">
      <c r="A44" s="162" t="s">
        <v>785</v>
      </c>
      <c r="B44" s="162" t="s">
        <v>772</v>
      </c>
      <c r="C44" s="162" t="s">
        <v>782</v>
      </c>
      <c r="D44" s="161">
        <v>8596.5</v>
      </c>
      <c r="E44" s="136" t="s">
        <v>135</v>
      </c>
      <c r="F44" s="136" t="s">
        <v>134</v>
      </c>
      <c r="G44" s="136" t="s">
        <v>38</v>
      </c>
      <c r="H44" s="162" t="s">
        <v>778</v>
      </c>
    </row>
    <row r="45" spans="1:8">
      <c r="A45" s="162" t="s">
        <v>785</v>
      </c>
      <c r="B45" s="162" t="s">
        <v>775</v>
      </c>
      <c r="C45" s="162" t="s">
        <v>782</v>
      </c>
      <c r="D45" s="161">
        <v>8673.7999999999993</v>
      </c>
      <c r="E45" s="136" t="s">
        <v>138</v>
      </c>
      <c r="F45" s="136" t="s">
        <v>137</v>
      </c>
      <c r="G45" s="136" t="s">
        <v>139</v>
      </c>
      <c r="H45" s="162" t="s">
        <v>778</v>
      </c>
    </row>
    <row r="46" spans="1:8">
      <c r="A46" s="162" t="s">
        <v>785</v>
      </c>
      <c r="B46" s="162" t="s">
        <v>772</v>
      </c>
      <c r="C46" s="162" t="s">
        <v>783</v>
      </c>
      <c r="D46" s="161">
        <v>8751.1</v>
      </c>
      <c r="E46" s="136" t="s">
        <v>76</v>
      </c>
      <c r="F46" s="136" t="s">
        <v>141</v>
      </c>
      <c r="G46" s="136" t="s">
        <v>77</v>
      </c>
      <c r="H46" s="162" t="s">
        <v>780</v>
      </c>
    </row>
    <row r="47" spans="1:8">
      <c r="A47" s="162" t="s">
        <v>785</v>
      </c>
      <c r="B47" s="162" t="s">
        <v>775</v>
      </c>
      <c r="C47" s="162" t="s">
        <v>782</v>
      </c>
      <c r="D47" s="161">
        <v>8828.4</v>
      </c>
      <c r="E47" s="136" t="s">
        <v>144</v>
      </c>
      <c r="F47" s="136" t="s">
        <v>143</v>
      </c>
      <c r="G47" s="136" t="s">
        <v>57</v>
      </c>
      <c r="H47" s="162" t="s">
        <v>780</v>
      </c>
    </row>
    <row r="48" spans="1:8">
      <c r="A48" s="162" t="s">
        <v>785</v>
      </c>
      <c r="B48" s="162" t="s">
        <v>772</v>
      </c>
      <c r="C48" s="162" t="s">
        <v>776</v>
      </c>
      <c r="D48" s="161">
        <v>8905.7000000000007</v>
      </c>
      <c r="E48" s="136" t="s">
        <v>76</v>
      </c>
      <c r="F48" s="136" t="s">
        <v>141</v>
      </c>
      <c r="G48" s="136" t="s">
        <v>77</v>
      </c>
      <c r="H48" s="152" t="s">
        <v>777</v>
      </c>
    </row>
    <row r="49" spans="1:8">
      <c r="A49" s="162" t="s">
        <v>785</v>
      </c>
      <c r="B49" s="162" t="s">
        <v>772</v>
      </c>
      <c r="C49" s="162" t="s">
        <v>783</v>
      </c>
      <c r="D49" s="161">
        <v>8983</v>
      </c>
      <c r="E49" s="136" t="s">
        <v>148</v>
      </c>
      <c r="F49" s="136" t="s">
        <v>147</v>
      </c>
      <c r="G49" s="136" t="s">
        <v>63</v>
      </c>
      <c r="H49" s="162" t="s">
        <v>780</v>
      </c>
    </row>
    <row r="50" spans="1:8">
      <c r="A50" s="162" t="s">
        <v>785</v>
      </c>
      <c r="B50" s="152" t="s">
        <v>772</v>
      </c>
      <c r="C50" s="152" t="s">
        <v>773</v>
      </c>
      <c r="D50" s="161">
        <v>9060.2999999999993</v>
      </c>
      <c r="E50" s="136" t="s">
        <v>135</v>
      </c>
      <c r="F50" s="136" t="s">
        <v>150</v>
      </c>
      <c r="G50" s="136" t="s">
        <v>38</v>
      </c>
      <c r="H50" s="152" t="s">
        <v>778</v>
      </c>
    </row>
    <row r="51" spans="1:8">
      <c r="A51" s="152" t="s">
        <v>771</v>
      </c>
      <c r="B51" s="152" t="s">
        <v>775</v>
      </c>
      <c r="C51" s="152" t="s">
        <v>776</v>
      </c>
      <c r="D51" s="161">
        <v>9137.6</v>
      </c>
      <c r="E51" s="136" t="s">
        <v>89</v>
      </c>
      <c r="F51" s="136" t="s">
        <v>152</v>
      </c>
      <c r="G51" s="136" t="s">
        <v>86</v>
      </c>
      <c r="H51" s="152" t="s">
        <v>777</v>
      </c>
    </row>
    <row r="52" spans="1:8">
      <c r="A52" s="152" t="s">
        <v>771</v>
      </c>
      <c r="B52" s="152" t="s">
        <v>772</v>
      </c>
      <c r="C52" s="152" t="s">
        <v>773</v>
      </c>
      <c r="D52" s="161">
        <v>9214.9</v>
      </c>
      <c r="E52" s="136" t="s">
        <v>155</v>
      </c>
      <c r="F52" s="136" t="s">
        <v>154</v>
      </c>
      <c r="G52" s="136" t="s">
        <v>42</v>
      </c>
      <c r="H52" s="152" t="s">
        <v>778</v>
      </c>
    </row>
    <row r="53" spans="1:8">
      <c r="A53" s="152" t="s">
        <v>779</v>
      </c>
      <c r="B53" s="152" t="s">
        <v>775</v>
      </c>
      <c r="C53" s="152" t="s">
        <v>776</v>
      </c>
      <c r="D53" s="161">
        <v>9292.2000000000007</v>
      </c>
      <c r="E53" s="136" t="s">
        <v>56</v>
      </c>
      <c r="F53" s="136" t="s">
        <v>157</v>
      </c>
      <c r="G53" s="136" t="s">
        <v>57</v>
      </c>
      <c r="H53" s="152" t="s">
        <v>777</v>
      </c>
    </row>
    <row r="54" spans="1:8">
      <c r="A54" s="152" t="s">
        <v>779</v>
      </c>
      <c r="B54" s="152" t="s">
        <v>775</v>
      </c>
      <c r="C54" s="152" t="s">
        <v>776</v>
      </c>
      <c r="D54" s="161">
        <v>9369.5</v>
      </c>
      <c r="E54" s="136" t="s">
        <v>160</v>
      </c>
      <c r="F54" s="136" t="s">
        <v>159</v>
      </c>
      <c r="G54" s="136" t="s">
        <v>161</v>
      </c>
      <c r="H54" s="152" t="s">
        <v>778</v>
      </c>
    </row>
    <row r="55" spans="1:8">
      <c r="A55" s="152" t="s">
        <v>779</v>
      </c>
      <c r="B55" s="152" t="s">
        <v>775</v>
      </c>
      <c r="C55" s="152" t="s">
        <v>773</v>
      </c>
      <c r="D55" s="161">
        <v>9446.7999999999993</v>
      </c>
      <c r="E55" s="136" t="s">
        <v>135</v>
      </c>
      <c r="F55" s="136" t="s">
        <v>163</v>
      </c>
      <c r="G55" s="136" t="s">
        <v>38</v>
      </c>
      <c r="H55" s="152" t="s">
        <v>780</v>
      </c>
    </row>
    <row r="56" spans="1:8">
      <c r="A56" s="152" t="s">
        <v>779</v>
      </c>
      <c r="B56" s="152" t="s">
        <v>772</v>
      </c>
      <c r="C56" s="152" t="s">
        <v>776</v>
      </c>
      <c r="D56" s="161">
        <v>9524.1</v>
      </c>
      <c r="E56" s="136" t="s">
        <v>166</v>
      </c>
      <c r="F56" s="136" t="s">
        <v>165</v>
      </c>
      <c r="G56" s="136" t="s">
        <v>38</v>
      </c>
      <c r="H56" s="152" t="s">
        <v>774</v>
      </c>
    </row>
    <row r="57" spans="1:8">
      <c r="A57" s="152" t="s">
        <v>779</v>
      </c>
      <c r="B57" s="152" t="s">
        <v>775</v>
      </c>
      <c r="C57" s="152" t="s">
        <v>776</v>
      </c>
      <c r="D57" s="161">
        <v>9601.4</v>
      </c>
      <c r="E57" s="136" t="s">
        <v>169</v>
      </c>
      <c r="F57" s="136" t="s">
        <v>168</v>
      </c>
      <c r="G57" s="136" t="s">
        <v>38</v>
      </c>
      <c r="H57" s="152" t="s">
        <v>777</v>
      </c>
    </row>
    <row r="58" spans="1:8">
      <c r="A58" s="152" t="s">
        <v>779</v>
      </c>
      <c r="B58" s="152" t="s">
        <v>772</v>
      </c>
      <c r="C58" s="152" t="s">
        <v>773</v>
      </c>
      <c r="D58" s="161">
        <v>9678.7000000000007</v>
      </c>
      <c r="E58" s="136" t="s">
        <v>56</v>
      </c>
      <c r="F58" s="136" t="s">
        <v>171</v>
      </c>
      <c r="G58" s="136" t="s">
        <v>57</v>
      </c>
      <c r="H58" s="152" t="s">
        <v>778</v>
      </c>
    </row>
    <row r="59" spans="1:8">
      <c r="A59" s="152" t="s">
        <v>779</v>
      </c>
      <c r="B59" s="152" t="s">
        <v>775</v>
      </c>
      <c r="C59" s="152" t="s">
        <v>776</v>
      </c>
      <c r="D59" s="161">
        <v>9756</v>
      </c>
      <c r="E59" s="136" t="s">
        <v>174</v>
      </c>
      <c r="F59" s="136" t="s">
        <v>173</v>
      </c>
      <c r="G59" s="136" t="s">
        <v>38</v>
      </c>
      <c r="H59" s="152" t="s">
        <v>777</v>
      </c>
    </row>
    <row r="60" spans="1:8">
      <c r="A60" s="162" t="s">
        <v>781</v>
      </c>
      <c r="B60" s="152" t="s">
        <v>775</v>
      </c>
      <c r="C60" s="152" t="s">
        <v>776</v>
      </c>
      <c r="D60" s="161">
        <v>9833.2999999999993</v>
      </c>
      <c r="E60" s="136" t="s">
        <v>177</v>
      </c>
      <c r="F60" s="136" t="s">
        <v>176</v>
      </c>
      <c r="G60" s="136" t="s">
        <v>38</v>
      </c>
      <c r="H60" s="152" t="s">
        <v>778</v>
      </c>
    </row>
    <row r="61" spans="1:8">
      <c r="A61" s="162" t="s">
        <v>781</v>
      </c>
      <c r="B61" s="152" t="s">
        <v>775</v>
      </c>
      <c r="C61" s="152" t="s">
        <v>773</v>
      </c>
      <c r="D61" s="161">
        <v>9910.6</v>
      </c>
      <c r="E61" s="136" t="s">
        <v>138</v>
      </c>
      <c r="F61" s="136" t="s">
        <v>110</v>
      </c>
      <c r="G61" s="136" t="s">
        <v>139</v>
      </c>
      <c r="H61" s="152" t="s">
        <v>780</v>
      </c>
    </row>
    <row r="62" spans="1:8">
      <c r="A62" s="162" t="s">
        <v>781</v>
      </c>
      <c r="B62" s="152" t="s">
        <v>772</v>
      </c>
      <c r="C62" s="152" t="s">
        <v>776</v>
      </c>
      <c r="D62" s="161">
        <v>9987.9</v>
      </c>
      <c r="E62" s="136" t="s">
        <v>181</v>
      </c>
      <c r="F62" s="136" t="s">
        <v>180</v>
      </c>
      <c r="G62" s="136" t="s">
        <v>38</v>
      </c>
      <c r="H62" s="152" t="s">
        <v>774</v>
      </c>
    </row>
    <row r="63" spans="1:8">
      <c r="A63" s="162" t="s">
        <v>781</v>
      </c>
      <c r="B63" s="152" t="s">
        <v>772</v>
      </c>
      <c r="C63" s="152" t="s">
        <v>776</v>
      </c>
      <c r="D63" s="161">
        <v>9990.67</v>
      </c>
      <c r="E63" s="136" t="s">
        <v>45</v>
      </c>
      <c r="F63" s="136" t="s">
        <v>183</v>
      </c>
      <c r="G63" s="136" t="s">
        <v>38</v>
      </c>
      <c r="H63" s="152" t="s">
        <v>780</v>
      </c>
    </row>
    <row r="64" spans="1:8">
      <c r="A64" s="162" t="s">
        <v>781</v>
      </c>
      <c r="B64" s="152" t="s">
        <v>775</v>
      </c>
      <c r="C64" s="152" t="s">
        <v>776</v>
      </c>
      <c r="D64" s="161">
        <v>9993.44</v>
      </c>
      <c r="E64" s="136" t="s">
        <v>138</v>
      </c>
      <c r="F64" s="136" t="s">
        <v>185</v>
      </c>
      <c r="G64" s="136" t="s">
        <v>139</v>
      </c>
      <c r="H64" s="162" t="s">
        <v>774</v>
      </c>
    </row>
    <row r="65" spans="1:8">
      <c r="A65" s="162" t="s">
        <v>786</v>
      </c>
      <c r="B65" s="162" t="s">
        <v>772</v>
      </c>
      <c r="C65" s="162" t="s">
        <v>782</v>
      </c>
      <c r="D65" s="161">
        <v>9996.2099999999991</v>
      </c>
      <c r="E65" s="136" t="s">
        <v>56</v>
      </c>
      <c r="F65" s="136" t="s">
        <v>187</v>
      </c>
      <c r="G65" s="136" t="s">
        <v>57</v>
      </c>
      <c r="H65" s="162" t="s">
        <v>778</v>
      </c>
    </row>
    <row r="66" spans="1:8">
      <c r="A66" s="162" t="s">
        <v>786</v>
      </c>
      <c r="B66" s="162" t="s">
        <v>775</v>
      </c>
      <c r="C66" s="162" t="s">
        <v>782</v>
      </c>
      <c r="D66" s="161">
        <v>9998.98</v>
      </c>
      <c r="E66" s="136" t="s">
        <v>190</v>
      </c>
      <c r="F66" s="136" t="s">
        <v>189</v>
      </c>
      <c r="G66" s="136" t="s">
        <v>161</v>
      </c>
      <c r="H66" s="162" t="s">
        <v>778</v>
      </c>
    </row>
    <row r="67" spans="1:8">
      <c r="A67" s="162" t="s">
        <v>786</v>
      </c>
      <c r="B67" s="152" t="s">
        <v>775</v>
      </c>
      <c r="C67" s="152" t="s">
        <v>776</v>
      </c>
      <c r="D67" s="161">
        <v>10001.75</v>
      </c>
      <c r="E67" s="136" t="s">
        <v>45</v>
      </c>
      <c r="F67" s="136" t="s">
        <v>192</v>
      </c>
      <c r="G67" s="136" t="s">
        <v>38</v>
      </c>
      <c r="H67" s="152" t="s">
        <v>778</v>
      </c>
    </row>
    <row r="68" spans="1:8">
      <c r="A68" s="162" t="s">
        <v>771</v>
      </c>
      <c r="B68" s="152" t="s">
        <v>772</v>
      </c>
      <c r="C68" s="152" t="s">
        <v>773</v>
      </c>
      <c r="D68" s="161">
        <v>10004.52</v>
      </c>
      <c r="E68" s="136" t="s">
        <v>56</v>
      </c>
      <c r="F68" s="136" t="s">
        <v>194</v>
      </c>
      <c r="G68" s="136" t="s">
        <v>57</v>
      </c>
      <c r="H68" s="152" t="s">
        <v>777</v>
      </c>
    </row>
    <row r="69" spans="1:8">
      <c r="A69" s="162" t="s">
        <v>779</v>
      </c>
      <c r="B69" s="152" t="s">
        <v>775</v>
      </c>
      <c r="C69" s="152" t="s">
        <v>776</v>
      </c>
      <c r="D69" s="161">
        <v>10007.289999999999</v>
      </c>
      <c r="E69" s="136" t="s">
        <v>37</v>
      </c>
      <c r="F69" s="136" t="s">
        <v>196</v>
      </c>
      <c r="G69" s="136" t="s">
        <v>38</v>
      </c>
      <c r="H69" s="152" t="s">
        <v>778</v>
      </c>
    </row>
    <row r="70" spans="1:8">
      <c r="A70" s="162" t="s">
        <v>779</v>
      </c>
      <c r="B70" s="152" t="s">
        <v>775</v>
      </c>
      <c r="C70" s="152" t="s">
        <v>776</v>
      </c>
      <c r="D70" s="161">
        <v>10010.06</v>
      </c>
      <c r="E70" s="136" t="s">
        <v>199</v>
      </c>
      <c r="F70" s="136" t="s">
        <v>198</v>
      </c>
      <c r="G70" s="136" t="s">
        <v>38</v>
      </c>
      <c r="H70" s="152" t="s">
        <v>777</v>
      </c>
    </row>
    <row r="71" spans="1:8">
      <c r="A71" s="162" t="s">
        <v>779</v>
      </c>
      <c r="B71" s="152" t="s">
        <v>775</v>
      </c>
      <c r="C71" s="152" t="s">
        <v>773</v>
      </c>
      <c r="D71" s="161">
        <v>10012.83</v>
      </c>
      <c r="E71" s="136" t="s">
        <v>37</v>
      </c>
      <c r="F71" s="136" t="s">
        <v>201</v>
      </c>
      <c r="G71" s="136" t="s">
        <v>38</v>
      </c>
      <c r="H71" s="152" t="s">
        <v>778</v>
      </c>
    </row>
    <row r="72" spans="1:8">
      <c r="A72" s="162" t="s">
        <v>779</v>
      </c>
      <c r="B72" s="152" t="s">
        <v>772</v>
      </c>
      <c r="C72" s="152" t="s">
        <v>776</v>
      </c>
      <c r="D72" s="161">
        <v>10015.6</v>
      </c>
      <c r="E72" s="136" t="s">
        <v>37</v>
      </c>
      <c r="F72" s="136" t="s">
        <v>203</v>
      </c>
      <c r="G72" s="136" t="s">
        <v>38</v>
      </c>
      <c r="H72" s="152" t="s">
        <v>780</v>
      </c>
    </row>
    <row r="73" spans="1:8">
      <c r="A73" s="162" t="s">
        <v>779</v>
      </c>
      <c r="B73" s="152" t="s">
        <v>772</v>
      </c>
      <c r="C73" s="152" t="s">
        <v>776</v>
      </c>
      <c r="D73" s="161">
        <v>10018.369999999999</v>
      </c>
      <c r="E73" s="136" t="s">
        <v>205</v>
      </c>
      <c r="F73" s="136" t="s">
        <v>110</v>
      </c>
      <c r="G73" s="136" t="s">
        <v>38</v>
      </c>
      <c r="H73" s="152" t="s">
        <v>774</v>
      </c>
    </row>
    <row r="74" spans="1:8">
      <c r="A74" s="162" t="s">
        <v>779</v>
      </c>
      <c r="B74" s="152" t="s">
        <v>775</v>
      </c>
      <c r="C74" s="152" t="s">
        <v>776</v>
      </c>
      <c r="D74" s="161">
        <v>10021.14</v>
      </c>
      <c r="E74" s="136" t="s">
        <v>89</v>
      </c>
      <c r="F74" s="136" t="s">
        <v>152</v>
      </c>
      <c r="G74" s="136" t="s">
        <v>86</v>
      </c>
      <c r="H74" s="152" t="s">
        <v>780</v>
      </c>
    </row>
    <row r="75" spans="1:8">
      <c r="A75" s="162" t="s">
        <v>779</v>
      </c>
      <c r="B75" s="162" t="s">
        <v>772</v>
      </c>
      <c r="C75" s="162" t="s">
        <v>782</v>
      </c>
      <c r="D75" s="161">
        <v>10023.91</v>
      </c>
      <c r="E75" s="136" t="s">
        <v>209</v>
      </c>
      <c r="F75" s="136" t="s">
        <v>208</v>
      </c>
      <c r="G75" s="136" t="s">
        <v>38</v>
      </c>
      <c r="H75" s="162" t="s">
        <v>774</v>
      </c>
    </row>
    <row r="76" spans="1:8">
      <c r="A76" s="162" t="s">
        <v>781</v>
      </c>
      <c r="B76" s="162" t="s">
        <v>775</v>
      </c>
      <c r="C76" s="162" t="s">
        <v>782</v>
      </c>
      <c r="D76" s="161">
        <v>10026.68</v>
      </c>
      <c r="E76" s="136" t="s">
        <v>138</v>
      </c>
      <c r="F76" s="136" t="s">
        <v>211</v>
      </c>
      <c r="G76" s="136" t="s">
        <v>139</v>
      </c>
      <c r="H76" s="162" t="s">
        <v>778</v>
      </c>
    </row>
    <row r="77" spans="1:8">
      <c r="A77" s="162" t="s">
        <v>781</v>
      </c>
      <c r="B77" s="162" t="s">
        <v>772</v>
      </c>
      <c r="C77" s="162" t="s">
        <v>783</v>
      </c>
      <c r="D77" s="161">
        <v>10029.449999999999</v>
      </c>
      <c r="E77" s="136" t="s">
        <v>214</v>
      </c>
      <c r="F77" s="136" t="s">
        <v>213</v>
      </c>
      <c r="G77" s="136" t="s">
        <v>57</v>
      </c>
      <c r="H77" s="162" t="s">
        <v>778</v>
      </c>
    </row>
    <row r="78" spans="1:8">
      <c r="A78" s="162" t="s">
        <v>781</v>
      </c>
      <c r="B78" s="162" t="s">
        <v>775</v>
      </c>
      <c r="C78" s="162" t="s">
        <v>782</v>
      </c>
      <c r="D78" s="161">
        <v>10032.219999999999</v>
      </c>
      <c r="E78" s="136" t="s">
        <v>217</v>
      </c>
      <c r="F78" s="136" t="s">
        <v>216</v>
      </c>
      <c r="G78" s="136" t="s">
        <v>38</v>
      </c>
      <c r="H78" s="162" t="s">
        <v>780</v>
      </c>
    </row>
    <row r="79" spans="1:8">
      <c r="A79" s="162" t="s">
        <v>781</v>
      </c>
      <c r="B79" s="162" t="s">
        <v>772</v>
      </c>
      <c r="C79" s="162" t="s">
        <v>776</v>
      </c>
      <c r="D79" s="161">
        <v>10034.99</v>
      </c>
      <c r="E79" s="136" t="s">
        <v>219</v>
      </c>
      <c r="F79" s="136" t="s">
        <v>110</v>
      </c>
      <c r="G79" s="136" t="s">
        <v>38</v>
      </c>
      <c r="H79" s="162" t="s">
        <v>780</v>
      </c>
    </row>
    <row r="80" spans="1:8">
      <c r="A80" s="162" t="s">
        <v>781</v>
      </c>
      <c r="B80" s="162" t="s">
        <v>772</v>
      </c>
      <c r="C80" s="162" t="s">
        <v>783</v>
      </c>
      <c r="D80" s="161">
        <v>10037.76</v>
      </c>
      <c r="E80" s="136" t="s">
        <v>45</v>
      </c>
      <c r="F80" s="136" t="s">
        <v>221</v>
      </c>
      <c r="G80" s="136" t="s">
        <v>38</v>
      </c>
      <c r="H80" s="162" t="s">
        <v>778</v>
      </c>
    </row>
    <row r="81" spans="1:8">
      <c r="A81" s="162" t="s">
        <v>786</v>
      </c>
      <c r="B81" s="162" t="s">
        <v>775</v>
      </c>
      <c r="C81" s="162" t="s">
        <v>782</v>
      </c>
      <c r="D81" s="161">
        <v>10040.529999999999</v>
      </c>
      <c r="E81" s="136" t="s">
        <v>148</v>
      </c>
      <c r="F81" s="136" t="s">
        <v>147</v>
      </c>
      <c r="G81" s="136" t="s">
        <v>63</v>
      </c>
      <c r="H81" s="162" t="s">
        <v>780</v>
      </c>
    </row>
    <row r="82" spans="1:8">
      <c r="A82" s="162" t="s">
        <v>786</v>
      </c>
      <c r="B82" s="162" t="s">
        <v>772</v>
      </c>
      <c r="C82" s="162" t="s">
        <v>776</v>
      </c>
      <c r="D82" s="161">
        <v>10043.299999999999</v>
      </c>
      <c r="E82" s="136" t="s">
        <v>56</v>
      </c>
      <c r="F82" s="136" t="s">
        <v>224</v>
      </c>
      <c r="G82" s="136" t="s">
        <v>57</v>
      </c>
      <c r="H82" s="162" t="s">
        <v>780</v>
      </c>
    </row>
    <row r="83" spans="1:8">
      <c r="A83" s="162" t="s">
        <v>786</v>
      </c>
      <c r="B83" s="152" t="s">
        <v>772</v>
      </c>
      <c r="C83" s="152" t="s">
        <v>773</v>
      </c>
      <c r="D83" s="161">
        <v>10046.07</v>
      </c>
      <c r="E83" s="136" t="s">
        <v>227</v>
      </c>
      <c r="F83" s="136" t="s">
        <v>226</v>
      </c>
      <c r="G83" s="136" t="s">
        <v>38</v>
      </c>
      <c r="H83" s="152" t="s">
        <v>774</v>
      </c>
    </row>
    <row r="84" spans="1:8">
      <c r="A84" s="162" t="s">
        <v>779</v>
      </c>
      <c r="B84" s="152" t="s">
        <v>775</v>
      </c>
      <c r="C84" s="152" t="s">
        <v>776</v>
      </c>
      <c r="D84" s="161">
        <v>10048.84</v>
      </c>
      <c r="E84" s="136" t="s">
        <v>230</v>
      </c>
      <c r="F84" s="136" t="s">
        <v>229</v>
      </c>
      <c r="G84" s="136" t="s">
        <v>38</v>
      </c>
      <c r="H84" s="152" t="s">
        <v>777</v>
      </c>
    </row>
    <row r="85" spans="1:8">
      <c r="A85" s="162" t="s">
        <v>779</v>
      </c>
      <c r="B85" s="152" t="s">
        <v>772</v>
      </c>
      <c r="C85" s="152" t="s">
        <v>773</v>
      </c>
      <c r="D85" s="161">
        <v>10051.609999999999</v>
      </c>
      <c r="E85" s="136" t="s">
        <v>232</v>
      </c>
      <c r="F85" s="136" t="s">
        <v>110</v>
      </c>
      <c r="G85" s="136" t="s">
        <v>38</v>
      </c>
      <c r="H85" s="152" t="s">
        <v>774</v>
      </c>
    </row>
    <row r="86" spans="1:8">
      <c r="A86" s="162" t="s">
        <v>787</v>
      </c>
      <c r="B86" s="152" t="s">
        <v>772</v>
      </c>
      <c r="C86" s="152" t="s">
        <v>773</v>
      </c>
      <c r="D86" s="161">
        <v>10054.379999999999</v>
      </c>
      <c r="E86" s="136" t="s">
        <v>234</v>
      </c>
      <c r="F86" s="136" t="s">
        <v>110</v>
      </c>
      <c r="G86" s="136" t="s">
        <v>38</v>
      </c>
      <c r="H86" s="152" t="s">
        <v>778</v>
      </c>
    </row>
    <row r="87" spans="1:8">
      <c r="A87" s="162" t="s">
        <v>787</v>
      </c>
      <c r="B87" s="152" t="s">
        <v>775</v>
      </c>
      <c r="C87" s="152" t="s">
        <v>776</v>
      </c>
      <c r="D87" s="161">
        <v>10057.15</v>
      </c>
      <c r="E87" s="136" t="s">
        <v>236</v>
      </c>
      <c r="F87" s="136" t="s">
        <v>79</v>
      </c>
      <c r="G87" s="136" t="s">
        <v>38</v>
      </c>
      <c r="H87" s="152" t="s">
        <v>778</v>
      </c>
    </row>
    <row r="88" spans="1:8">
      <c r="A88" s="162" t="s">
        <v>787</v>
      </c>
      <c r="B88" s="152" t="s">
        <v>772</v>
      </c>
      <c r="C88" s="152" t="s">
        <v>773</v>
      </c>
      <c r="D88" s="161">
        <v>10059.92</v>
      </c>
      <c r="E88" s="136" t="s">
        <v>239</v>
      </c>
      <c r="F88" s="136" t="s">
        <v>238</v>
      </c>
      <c r="G88" s="136" t="s">
        <v>240</v>
      </c>
      <c r="H88" s="152" t="s">
        <v>778</v>
      </c>
    </row>
    <row r="89" spans="1:8">
      <c r="A89" s="162" t="s">
        <v>787</v>
      </c>
      <c r="B89" s="162" t="s">
        <v>775</v>
      </c>
      <c r="C89" s="162" t="s">
        <v>782</v>
      </c>
      <c r="D89" s="161">
        <v>10062.69</v>
      </c>
      <c r="E89" s="136" t="s">
        <v>243</v>
      </c>
      <c r="F89" s="136" t="s">
        <v>242</v>
      </c>
      <c r="G89" s="136" t="s">
        <v>240</v>
      </c>
      <c r="H89" s="162" t="s">
        <v>778</v>
      </c>
    </row>
    <row r="90" spans="1:8">
      <c r="A90" s="162" t="s">
        <v>779</v>
      </c>
      <c r="B90" s="162" t="s">
        <v>772</v>
      </c>
      <c r="C90" s="162" t="s">
        <v>783</v>
      </c>
      <c r="D90" s="161">
        <v>10065.459999999999</v>
      </c>
      <c r="E90" s="136" t="s">
        <v>243</v>
      </c>
      <c r="F90" s="136" t="s">
        <v>245</v>
      </c>
      <c r="G90" s="136" t="s">
        <v>240</v>
      </c>
      <c r="H90" s="162" t="s">
        <v>778</v>
      </c>
    </row>
    <row r="91" spans="1:8">
      <c r="A91" s="162" t="s">
        <v>779</v>
      </c>
      <c r="B91" s="162" t="s">
        <v>775</v>
      </c>
      <c r="C91" s="162" t="s">
        <v>782</v>
      </c>
      <c r="D91" s="161">
        <v>10068.23</v>
      </c>
      <c r="E91" s="136" t="s">
        <v>247</v>
      </c>
      <c r="F91" s="136" t="s">
        <v>154</v>
      </c>
      <c r="G91" s="136" t="s">
        <v>161</v>
      </c>
      <c r="H91" s="162" t="s">
        <v>780</v>
      </c>
    </row>
    <row r="92" spans="1:8">
      <c r="A92" s="162" t="s">
        <v>779</v>
      </c>
      <c r="B92" s="162" t="s">
        <v>772</v>
      </c>
      <c r="C92" s="162" t="s">
        <v>776</v>
      </c>
      <c r="D92" s="161">
        <v>10071</v>
      </c>
      <c r="E92" s="136" t="s">
        <v>56</v>
      </c>
      <c r="F92" s="136" t="s">
        <v>144</v>
      </c>
      <c r="G92" s="136" t="s">
        <v>57</v>
      </c>
      <c r="H92" s="162" t="s">
        <v>780</v>
      </c>
    </row>
    <row r="93" spans="1:8">
      <c r="A93" s="162" t="s">
        <v>781</v>
      </c>
      <c r="B93" s="162" t="s">
        <v>772</v>
      </c>
      <c r="C93" s="162" t="s">
        <v>783</v>
      </c>
      <c r="D93" s="161">
        <v>10073.77</v>
      </c>
      <c r="E93" s="136" t="s">
        <v>251</v>
      </c>
      <c r="F93" s="136" t="s">
        <v>250</v>
      </c>
      <c r="G93" s="136" t="s">
        <v>252</v>
      </c>
      <c r="H93" s="162" t="s">
        <v>778</v>
      </c>
    </row>
    <row r="94" spans="1:8">
      <c r="A94" s="162" t="s">
        <v>781</v>
      </c>
      <c r="B94" s="162" t="s">
        <v>775</v>
      </c>
      <c r="C94" s="162" t="s">
        <v>782</v>
      </c>
      <c r="D94" s="161">
        <v>10076.539999999999</v>
      </c>
      <c r="E94" s="136" t="s">
        <v>166</v>
      </c>
      <c r="F94" s="136" t="s">
        <v>254</v>
      </c>
      <c r="G94" s="136" t="s">
        <v>38</v>
      </c>
      <c r="H94" s="162" t="s">
        <v>780</v>
      </c>
    </row>
    <row r="95" spans="1:8">
      <c r="A95" s="162" t="s">
        <v>787</v>
      </c>
      <c r="B95" s="162" t="s">
        <v>772</v>
      </c>
      <c r="C95" s="162" t="s">
        <v>776</v>
      </c>
      <c r="D95" s="161">
        <v>10079.31</v>
      </c>
      <c r="E95" s="136" t="s">
        <v>257</v>
      </c>
      <c r="F95" s="136" t="s">
        <v>256</v>
      </c>
      <c r="G95" s="136" t="s">
        <v>38</v>
      </c>
      <c r="H95" s="162" t="s">
        <v>780</v>
      </c>
    </row>
    <row r="96" spans="1:8">
      <c r="A96" s="162" t="s">
        <v>787</v>
      </c>
      <c r="B96" s="152" t="s">
        <v>772</v>
      </c>
      <c r="C96" s="152" t="s">
        <v>773</v>
      </c>
      <c r="D96" s="161">
        <v>10082.08</v>
      </c>
      <c r="E96" s="136" t="s">
        <v>251</v>
      </c>
      <c r="F96" s="136" t="s">
        <v>259</v>
      </c>
      <c r="G96" s="136" t="s">
        <v>252</v>
      </c>
      <c r="H96" s="152" t="s">
        <v>774</v>
      </c>
    </row>
    <row r="97" spans="1:8">
      <c r="A97" s="162" t="s">
        <v>781</v>
      </c>
      <c r="B97" s="152" t="s">
        <v>775</v>
      </c>
      <c r="C97" s="152" t="s">
        <v>776</v>
      </c>
      <c r="D97" s="161">
        <v>10084.85</v>
      </c>
      <c r="E97" s="136" t="s">
        <v>56</v>
      </c>
      <c r="F97" s="136" t="s">
        <v>261</v>
      </c>
      <c r="G97" s="136" t="s">
        <v>57</v>
      </c>
      <c r="H97" s="152" t="s">
        <v>777</v>
      </c>
    </row>
    <row r="98" spans="1:8">
      <c r="A98" s="162" t="s">
        <v>781</v>
      </c>
      <c r="B98" s="162" t="s">
        <v>775</v>
      </c>
      <c r="C98" s="162" t="s">
        <v>782</v>
      </c>
      <c r="D98" s="161">
        <v>10087.619999999999</v>
      </c>
      <c r="E98" s="136" t="s">
        <v>264</v>
      </c>
      <c r="F98" s="136" t="s">
        <v>263</v>
      </c>
      <c r="G98" s="136" t="s">
        <v>38</v>
      </c>
      <c r="H98" s="162" t="s">
        <v>778</v>
      </c>
    </row>
    <row r="99" spans="1:8">
      <c r="A99" s="162" t="s">
        <v>781</v>
      </c>
      <c r="B99" s="162" t="s">
        <v>772</v>
      </c>
      <c r="C99" s="162" t="s">
        <v>783</v>
      </c>
      <c r="D99" s="161">
        <v>10090.39</v>
      </c>
      <c r="E99" s="136" t="s">
        <v>132</v>
      </c>
      <c r="F99" s="136" t="s">
        <v>266</v>
      </c>
      <c r="G99" s="136" t="s">
        <v>267</v>
      </c>
      <c r="H99" s="162" t="s">
        <v>778</v>
      </c>
    </row>
    <row r="100" spans="1:8">
      <c r="A100" s="162" t="s">
        <v>786</v>
      </c>
      <c r="B100" s="162" t="s">
        <v>775</v>
      </c>
      <c r="C100" s="162" t="s">
        <v>782</v>
      </c>
      <c r="D100" s="161">
        <v>10093.16</v>
      </c>
      <c r="E100" s="136" t="s">
        <v>45</v>
      </c>
      <c r="F100" s="136" t="s">
        <v>269</v>
      </c>
      <c r="G100" s="136" t="s">
        <v>38</v>
      </c>
      <c r="H100" s="162" t="s">
        <v>780</v>
      </c>
    </row>
    <row r="101" spans="1:8">
      <c r="A101" s="162" t="s">
        <v>786</v>
      </c>
      <c r="B101" s="162" t="s">
        <v>772</v>
      </c>
      <c r="C101" s="162" t="s">
        <v>776</v>
      </c>
      <c r="D101" s="161">
        <v>10095.93</v>
      </c>
      <c r="E101" s="136" t="s">
        <v>37</v>
      </c>
      <c r="F101" s="136" t="s">
        <v>271</v>
      </c>
      <c r="G101" s="136" t="s">
        <v>38</v>
      </c>
      <c r="H101" s="162" t="s">
        <v>780</v>
      </c>
    </row>
    <row r="102" spans="1:8">
      <c r="A102" s="162" t="s">
        <v>786</v>
      </c>
      <c r="B102" s="162" t="s">
        <v>772</v>
      </c>
      <c r="C102" s="162" t="s">
        <v>783</v>
      </c>
      <c r="D102" s="161">
        <v>10098.699999999999</v>
      </c>
      <c r="E102" s="136" t="s">
        <v>45</v>
      </c>
      <c r="F102" s="136" t="s">
        <v>273</v>
      </c>
      <c r="G102" s="136" t="s">
        <v>38</v>
      </c>
      <c r="H102" s="162" t="s">
        <v>778</v>
      </c>
    </row>
    <row r="103" spans="1:8">
      <c r="A103" s="162" t="s">
        <v>787</v>
      </c>
      <c r="B103" s="162" t="s">
        <v>775</v>
      </c>
      <c r="C103" s="162" t="s">
        <v>782</v>
      </c>
      <c r="D103" s="161">
        <v>10101.469999999999</v>
      </c>
      <c r="E103" s="136" t="s">
        <v>209</v>
      </c>
      <c r="F103" s="136" t="s">
        <v>275</v>
      </c>
      <c r="G103" s="136" t="s">
        <v>38</v>
      </c>
      <c r="H103" s="162" t="s">
        <v>780</v>
      </c>
    </row>
    <row r="104" spans="1:8">
      <c r="A104" s="162" t="s">
        <v>787</v>
      </c>
      <c r="B104" s="162" t="s">
        <v>772</v>
      </c>
      <c r="C104" s="162" t="s">
        <v>776</v>
      </c>
      <c r="D104" s="161">
        <v>10104.24</v>
      </c>
      <c r="E104" s="136" t="s">
        <v>45</v>
      </c>
      <c r="F104" s="136" t="s">
        <v>277</v>
      </c>
      <c r="G104" s="136" t="s">
        <v>38</v>
      </c>
      <c r="H104" s="162" t="s">
        <v>780</v>
      </c>
    </row>
    <row r="105" spans="1:8">
      <c r="A105" s="162" t="s">
        <v>787</v>
      </c>
      <c r="B105" s="152" t="s">
        <v>772</v>
      </c>
      <c r="C105" s="152" t="s">
        <v>773</v>
      </c>
      <c r="D105" s="161">
        <v>10107.01</v>
      </c>
      <c r="E105" s="136" t="s">
        <v>113</v>
      </c>
      <c r="F105" s="136" t="s">
        <v>279</v>
      </c>
      <c r="G105" s="136" t="s">
        <v>38</v>
      </c>
      <c r="H105" s="152" t="s">
        <v>774</v>
      </c>
    </row>
    <row r="106" spans="1:8">
      <c r="A106" s="162" t="s">
        <v>784</v>
      </c>
      <c r="B106" s="152" t="s">
        <v>775</v>
      </c>
      <c r="C106" s="152" t="s">
        <v>776</v>
      </c>
      <c r="D106" s="161">
        <v>10109.779999999999</v>
      </c>
      <c r="E106" s="136" t="s">
        <v>62</v>
      </c>
      <c r="F106" s="136" t="s">
        <v>281</v>
      </c>
      <c r="G106" s="136" t="s">
        <v>63</v>
      </c>
      <c r="H106" s="152" t="s">
        <v>777</v>
      </c>
    </row>
    <row r="107" spans="1:8">
      <c r="A107" s="162" t="s">
        <v>788</v>
      </c>
      <c r="B107" s="152" t="s">
        <v>775</v>
      </c>
      <c r="C107" s="152" t="s">
        <v>773</v>
      </c>
      <c r="D107" s="161">
        <v>10112.549999999999</v>
      </c>
      <c r="E107" s="136" t="s">
        <v>284</v>
      </c>
      <c r="F107" s="136" t="s">
        <v>283</v>
      </c>
      <c r="G107" s="136" t="s">
        <v>49</v>
      </c>
      <c r="H107" s="152" t="s">
        <v>778</v>
      </c>
    </row>
    <row r="108" spans="1:8">
      <c r="A108" s="162" t="s">
        <v>789</v>
      </c>
      <c r="B108" s="152" t="s">
        <v>772</v>
      </c>
      <c r="C108" s="152" t="s">
        <v>776</v>
      </c>
      <c r="D108" s="161">
        <v>10115.32</v>
      </c>
      <c r="E108" s="136" t="s">
        <v>82</v>
      </c>
      <c r="F108" s="136" t="s">
        <v>286</v>
      </c>
      <c r="G108" s="136" t="s">
        <v>38</v>
      </c>
      <c r="H108" s="152" t="s">
        <v>780</v>
      </c>
    </row>
    <row r="109" spans="1:8">
      <c r="A109" s="162" t="s">
        <v>790</v>
      </c>
      <c r="B109" s="152" t="s">
        <v>772</v>
      </c>
      <c r="C109" s="152" t="s">
        <v>776</v>
      </c>
      <c r="D109" s="161">
        <v>10118.09</v>
      </c>
      <c r="E109" s="136" t="s">
        <v>45</v>
      </c>
      <c r="F109" s="136" t="s">
        <v>288</v>
      </c>
      <c r="G109" s="136" t="s">
        <v>38</v>
      </c>
      <c r="H109" s="152" t="s">
        <v>774</v>
      </c>
    </row>
    <row r="110" spans="1:8">
      <c r="A110" s="162" t="s">
        <v>791</v>
      </c>
      <c r="B110" s="152" t="s">
        <v>775</v>
      </c>
      <c r="C110" s="152" t="s">
        <v>776</v>
      </c>
      <c r="D110" s="161">
        <v>10120.859999999999</v>
      </c>
      <c r="E110" s="136" t="s">
        <v>291</v>
      </c>
      <c r="F110" s="136" t="s">
        <v>290</v>
      </c>
      <c r="G110" s="136" t="s">
        <v>53</v>
      </c>
      <c r="H110" s="152" t="s">
        <v>780</v>
      </c>
    </row>
    <row r="111" spans="1:8">
      <c r="A111" s="162" t="s">
        <v>787</v>
      </c>
      <c r="B111" s="162" t="s">
        <v>772</v>
      </c>
      <c r="C111" s="162" t="s">
        <v>782</v>
      </c>
      <c r="D111" s="161">
        <v>10123.629999999999</v>
      </c>
      <c r="E111" s="136" t="s">
        <v>294</v>
      </c>
      <c r="F111" s="136" t="s">
        <v>293</v>
      </c>
      <c r="G111" s="136" t="s">
        <v>38</v>
      </c>
      <c r="H111" s="162" t="s">
        <v>774</v>
      </c>
    </row>
    <row r="112" spans="1:8">
      <c r="A112" s="162" t="s">
        <v>784</v>
      </c>
      <c r="B112" s="162" t="s">
        <v>775</v>
      </c>
      <c r="C112" s="162" t="s">
        <v>782</v>
      </c>
      <c r="D112" s="161">
        <v>10126.4</v>
      </c>
      <c r="E112" s="136" t="s">
        <v>45</v>
      </c>
      <c r="F112" s="136" t="s">
        <v>296</v>
      </c>
      <c r="G112" s="136" t="s">
        <v>38</v>
      </c>
      <c r="H112" s="162" t="s">
        <v>778</v>
      </c>
    </row>
    <row r="113" spans="1:8">
      <c r="A113" s="162" t="s">
        <v>785</v>
      </c>
      <c r="B113" s="162" t="s">
        <v>772</v>
      </c>
      <c r="C113" s="162" t="s">
        <v>783</v>
      </c>
      <c r="D113" s="161">
        <v>10129.17</v>
      </c>
      <c r="E113" s="136" t="s">
        <v>37</v>
      </c>
      <c r="F113" s="136" t="s">
        <v>298</v>
      </c>
      <c r="G113" s="136" t="s">
        <v>38</v>
      </c>
      <c r="H113" s="162" t="s">
        <v>778</v>
      </c>
    </row>
    <row r="114" spans="1:8">
      <c r="A114" s="162" t="s">
        <v>781</v>
      </c>
      <c r="B114" s="162" t="s">
        <v>775</v>
      </c>
      <c r="C114" s="162" t="s">
        <v>782</v>
      </c>
      <c r="D114" s="161">
        <v>10131.94</v>
      </c>
      <c r="E114" s="136" t="s">
        <v>251</v>
      </c>
      <c r="F114" s="136" t="s">
        <v>300</v>
      </c>
      <c r="G114" s="136" t="s">
        <v>252</v>
      </c>
      <c r="H114" s="162" t="s">
        <v>780</v>
      </c>
    </row>
    <row r="115" spans="1:8">
      <c r="A115" s="162" t="s">
        <v>786</v>
      </c>
      <c r="B115" s="162" t="s">
        <v>772</v>
      </c>
      <c r="C115" s="162" t="s">
        <v>776</v>
      </c>
      <c r="D115" s="161">
        <v>10134.709999999999</v>
      </c>
      <c r="E115" s="136" t="s">
        <v>66</v>
      </c>
      <c r="F115" s="136" t="s">
        <v>302</v>
      </c>
      <c r="G115" s="136" t="s">
        <v>38</v>
      </c>
      <c r="H115" s="162" t="s">
        <v>780</v>
      </c>
    </row>
    <row r="116" spans="1:8">
      <c r="A116" s="162" t="s">
        <v>771</v>
      </c>
      <c r="B116" s="162" t="s">
        <v>772</v>
      </c>
      <c r="C116" s="162" t="s">
        <v>783</v>
      </c>
      <c r="D116" s="161">
        <v>10137.48</v>
      </c>
      <c r="E116" s="136" t="s">
        <v>45</v>
      </c>
      <c r="F116" s="136" t="s">
        <v>44</v>
      </c>
      <c r="G116" s="136" t="s">
        <v>38</v>
      </c>
      <c r="H116" s="162" t="s">
        <v>778</v>
      </c>
    </row>
    <row r="117" spans="1:8">
      <c r="A117" s="162" t="s">
        <v>779</v>
      </c>
      <c r="B117" s="162" t="s">
        <v>775</v>
      </c>
      <c r="C117" s="162" t="s">
        <v>782</v>
      </c>
      <c r="D117" s="161">
        <v>10140.25</v>
      </c>
      <c r="E117" s="136" t="s">
        <v>306</v>
      </c>
      <c r="F117" s="136" t="s">
        <v>305</v>
      </c>
      <c r="G117" s="136" t="s">
        <v>252</v>
      </c>
      <c r="H117" s="162" t="s">
        <v>780</v>
      </c>
    </row>
    <row r="118" spans="1:8">
      <c r="A118" s="162" t="s">
        <v>792</v>
      </c>
      <c r="B118" s="162" t="s">
        <v>772</v>
      </c>
      <c r="C118" s="162" t="s">
        <v>776</v>
      </c>
      <c r="D118" s="161">
        <v>10143.02</v>
      </c>
      <c r="E118" s="136" t="s">
        <v>309</v>
      </c>
      <c r="F118" s="136" t="s">
        <v>308</v>
      </c>
      <c r="G118" s="136" t="s">
        <v>38</v>
      </c>
      <c r="H118" s="162" t="s">
        <v>780</v>
      </c>
    </row>
    <row r="119" spans="1:8">
      <c r="A119" s="162" t="s">
        <v>788</v>
      </c>
      <c r="B119" s="152" t="s">
        <v>772</v>
      </c>
      <c r="C119" s="152" t="s">
        <v>773</v>
      </c>
      <c r="D119" s="161">
        <v>10145.789999999999</v>
      </c>
      <c r="E119" s="136" t="s">
        <v>312</v>
      </c>
      <c r="F119" s="136" t="s">
        <v>311</v>
      </c>
      <c r="G119" s="136" t="s">
        <v>70</v>
      </c>
      <c r="H119" s="152" t="s">
        <v>774</v>
      </c>
    </row>
    <row r="120" spans="1:8">
      <c r="A120" s="162" t="s">
        <v>789</v>
      </c>
      <c r="B120" s="152" t="s">
        <v>775</v>
      </c>
      <c r="C120" s="152" t="s">
        <v>776</v>
      </c>
      <c r="D120" s="161">
        <v>10148.56</v>
      </c>
      <c r="E120" s="136" t="s">
        <v>312</v>
      </c>
      <c r="F120" s="136" t="s">
        <v>314</v>
      </c>
      <c r="G120" s="136" t="s">
        <v>70</v>
      </c>
      <c r="H120" s="152" t="s">
        <v>777</v>
      </c>
    </row>
    <row r="121" spans="1:8">
      <c r="A121" s="162" t="s">
        <v>790</v>
      </c>
      <c r="B121" s="152" t="s">
        <v>772</v>
      </c>
      <c r="C121" s="152" t="s">
        <v>773</v>
      </c>
      <c r="D121" s="161">
        <v>10151.33</v>
      </c>
      <c r="E121" s="136" t="s">
        <v>317</v>
      </c>
      <c r="F121" s="136" t="s">
        <v>316</v>
      </c>
      <c r="G121" s="136" t="s">
        <v>38</v>
      </c>
      <c r="H121" s="152" t="s">
        <v>774</v>
      </c>
    </row>
    <row r="122" spans="1:8">
      <c r="A122" s="162" t="s">
        <v>791</v>
      </c>
      <c r="B122" s="152" t="s">
        <v>772</v>
      </c>
      <c r="C122" s="152" t="s">
        <v>773</v>
      </c>
      <c r="D122" s="161">
        <v>10154.1</v>
      </c>
      <c r="E122" s="136" t="s">
        <v>104</v>
      </c>
      <c r="F122" s="136" t="s">
        <v>110</v>
      </c>
      <c r="G122" s="136" t="s">
        <v>38</v>
      </c>
      <c r="H122" s="152" t="s">
        <v>778</v>
      </c>
    </row>
    <row r="123" spans="1:8">
      <c r="A123" s="162" t="s">
        <v>787</v>
      </c>
      <c r="B123" s="152" t="s">
        <v>775</v>
      </c>
      <c r="C123" s="152" t="s">
        <v>776</v>
      </c>
      <c r="D123" s="161">
        <v>10156.869999999999</v>
      </c>
      <c r="E123" s="136" t="s">
        <v>45</v>
      </c>
      <c r="F123" s="136" t="s">
        <v>320</v>
      </c>
      <c r="G123" s="136" t="s">
        <v>38</v>
      </c>
      <c r="H123" s="152" t="s">
        <v>778</v>
      </c>
    </row>
    <row r="124" spans="1:8">
      <c r="A124" s="162" t="s">
        <v>784</v>
      </c>
      <c r="B124" s="152" t="s">
        <v>772</v>
      </c>
      <c r="C124" s="152" t="s">
        <v>773</v>
      </c>
      <c r="D124" s="161">
        <v>10159.64</v>
      </c>
      <c r="E124" s="136" t="s">
        <v>323</v>
      </c>
      <c r="F124" s="136" t="s">
        <v>322</v>
      </c>
      <c r="G124" s="136" t="s">
        <v>38</v>
      </c>
      <c r="H124" s="152" t="s">
        <v>778</v>
      </c>
    </row>
    <row r="125" spans="1:8">
      <c r="A125" s="162" t="s">
        <v>785</v>
      </c>
      <c r="B125" s="162" t="s">
        <v>775</v>
      </c>
      <c r="C125" s="162" t="s">
        <v>782</v>
      </c>
      <c r="D125" s="161">
        <v>10162.41</v>
      </c>
      <c r="E125" s="136" t="s">
        <v>45</v>
      </c>
      <c r="F125" s="136" t="s">
        <v>325</v>
      </c>
      <c r="G125" s="136" t="s">
        <v>38</v>
      </c>
      <c r="H125" s="162" t="s">
        <v>778</v>
      </c>
    </row>
    <row r="126" spans="1:8">
      <c r="A126" s="162" t="s">
        <v>781</v>
      </c>
      <c r="B126" s="162" t="s">
        <v>772</v>
      </c>
      <c r="C126" s="162" t="s">
        <v>783</v>
      </c>
      <c r="D126" s="161">
        <v>10165.18</v>
      </c>
      <c r="E126" s="136" t="s">
        <v>45</v>
      </c>
      <c r="F126" s="136" t="s">
        <v>296</v>
      </c>
      <c r="G126" s="136" t="s">
        <v>38</v>
      </c>
      <c r="H126" s="162" t="s">
        <v>778</v>
      </c>
    </row>
    <row r="127" spans="1:8">
      <c r="A127" s="162" t="s">
        <v>786</v>
      </c>
      <c r="B127" s="162" t="s">
        <v>775</v>
      </c>
      <c r="C127" s="162" t="s">
        <v>782</v>
      </c>
      <c r="D127" s="161">
        <v>10167.949999999999</v>
      </c>
      <c r="E127" s="136" t="s">
        <v>328</v>
      </c>
      <c r="F127" s="136" t="s">
        <v>110</v>
      </c>
      <c r="G127" s="136" t="s">
        <v>38</v>
      </c>
      <c r="H127" s="162" t="s">
        <v>780</v>
      </c>
    </row>
    <row r="128" spans="1:8">
      <c r="A128" s="162" t="s">
        <v>771</v>
      </c>
      <c r="B128" s="162" t="s">
        <v>772</v>
      </c>
      <c r="C128" s="162" t="s">
        <v>776</v>
      </c>
      <c r="D128" s="161">
        <v>10170.719999999999</v>
      </c>
      <c r="E128" s="136" t="s">
        <v>328</v>
      </c>
      <c r="F128" s="136" t="s">
        <v>110</v>
      </c>
      <c r="G128" s="136" t="s">
        <v>38</v>
      </c>
      <c r="H128" s="162" t="s">
        <v>780</v>
      </c>
    </row>
    <row r="129" spans="1:8">
      <c r="A129" s="162" t="s">
        <v>779</v>
      </c>
      <c r="B129" s="162" t="s">
        <v>772</v>
      </c>
      <c r="C129" s="162" t="s">
        <v>783</v>
      </c>
      <c r="D129" s="161">
        <v>10173.49</v>
      </c>
      <c r="E129" s="136" t="s">
        <v>331</v>
      </c>
      <c r="F129" s="136" t="s">
        <v>110</v>
      </c>
      <c r="G129" s="136" t="s">
        <v>38</v>
      </c>
      <c r="H129" s="162" t="s">
        <v>778</v>
      </c>
    </row>
    <row r="130" spans="1:8">
      <c r="A130" s="162" t="s">
        <v>792</v>
      </c>
      <c r="B130" s="162" t="s">
        <v>775</v>
      </c>
      <c r="C130" s="162" t="s">
        <v>782</v>
      </c>
      <c r="D130" s="161">
        <v>10176.26</v>
      </c>
      <c r="E130" s="136" t="s">
        <v>333</v>
      </c>
      <c r="F130" s="136" t="s">
        <v>110</v>
      </c>
      <c r="G130" s="136" t="s">
        <v>38</v>
      </c>
      <c r="H130" s="162" t="s">
        <v>780</v>
      </c>
    </row>
    <row r="131" spans="1:8">
      <c r="A131" s="162" t="s">
        <v>788</v>
      </c>
      <c r="B131" s="162" t="s">
        <v>772</v>
      </c>
      <c r="C131" s="162" t="s">
        <v>776</v>
      </c>
      <c r="D131" s="161">
        <v>10179.029999999999</v>
      </c>
      <c r="E131" s="136" t="s">
        <v>336</v>
      </c>
      <c r="F131" s="136" t="s">
        <v>335</v>
      </c>
      <c r="G131" s="136" t="s">
        <v>337</v>
      </c>
      <c r="H131" s="162" t="s">
        <v>780</v>
      </c>
    </row>
    <row r="132" spans="1:8">
      <c r="A132" s="162" t="s">
        <v>789</v>
      </c>
      <c r="B132" s="152" t="s">
        <v>775</v>
      </c>
      <c r="C132" s="152" t="s">
        <v>773</v>
      </c>
      <c r="D132" s="161">
        <v>10181.799999999999</v>
      </c>
      <c r="E132" s="136" t="s">
        <v>336</v>
      </c>
      <c r="F132" s="136" t="s">
        <v>339</v>
      </c>
      <c r="G132" s="136" t="s">
        <v>337</v>
      </c>
      <c r="H132" s="152" t="s">
        <v>778</v>
      </c>
    </row>
    <row r="133" spans="1:8">
      <c r="A133" s="162" t="s">
        <v>790</v>
      </c>
      <c r="B133" s="152" t="s">
        <v>772</v>
      </c>
      <c r="C133" s="152" t="s">
        <v>776</v>
      </c>
      <c r="D133" s="161">
        <v>10184.57</v>
      </c>
      <c r="E133" s="136" t="s">
        <v>342</v>
      </c>
      <c r="F133" s="136" t="s">
        <v>341</v>
      </c>
      <c r="G133" s="136" t="s">
        <v>337</v>
      </c>
      <c r="H133" s="152" t="s">
        <v>780</v>
      </c>
    </row>
    <row r="134" spans="1:8">
      <c r="A134" s="162" t="s">
        <v>791</v>
      </c>
      <c r="B134" s="152" t="s">
        <v>772</v>
      </c>
      <c r="C134" s="152" t="s">
        <v>776</v>
      </c>
      <c r="D134" s="161">
        <v>10187.34</v>
      </c>
      <c r="E134" s="136" t="s">
        <v>336</v>
      </c>
      <c r="F134" s="136" t="s">
        <v>344</v>
      </c>
      <c r="G134" s="136" t="s">
        <v>337</v>
      </c>
      <c r="H134" s="152" t="s">
        <v>774</v>
      </c>
    </row>
    <row r="135" spans="1:8">
      <c r="A135" s="162" t="s">
        <v>787</v>
      </c>
      <c r="B135" s="152" t="s">
        <v>775</v>
      </c>
      <c r="C135" s="152" t="s">
        <v>776</v>
      </c>
      <c r="D135" s="161">
        <v>10190.109999999999</v>
      </c>
      <c r="E135" s="136" t="s">
        <v>205</v>
      </c>
      <c r="F135" s="136" t="s">
        <v>346</v>
      </c>
      <c r="G135" s="136" t="s">
        <v>38</v>
      </c>
      <c r="H135" s="152" t="s">
        <v>780</v>
      </c>
    </row>
    <row r="136" spans="1:8">
      <c r="A136" s="162" t="s">
        <v>784</v>
      </c>
      <c r="B136" s="162" t="s">
        <v>772</v>
      </c>
      <c r="C136" s="162" t="s">
        <v>782</v>
      </c>
      <c r="D136" s="161">
        <v>10192.879999999999</v>
      </c>
      <c r="E136" s="136" t="s">
        <v>205</v>
      </c>
      <c r="F136" s="136" t="s">
        <v>348</v>
      </c>
      <c r="G136" s="136" t="s">
        <v>38</v>
      </c>
      <c r="H136" s="162" t="s">
        <v>774</v>
      </c>
    </row>
    <row r="137" spans="1:8">
      <c r="A137" s="162" t="s">
        <v>785</v>
      </c>
      <c r="B137" s="162" t="s">
        <v>775</v>
      </c>
      <c r="C137" s="162" t="s">
        <v>782</v>
      </c>
      <c r="D137" s="161">
        <v>10195.65</v>
      </c>
      <c r="E137" s="136" t="s">
        <v>205</v>
      </c>
      <c r="F137" s="136" t="s">
        <v>97</v>
      </c>
      <c r="G137" s="136" t="s">
        <v>38</v>
      </c>
      <c r="H137" s="162" t="s">
        <v>778</v>
      </c>
    </row>
    <row r="138" spans="1:8">
      <c r="A138" s="162" t="s">
        <v>781</v>
      </c>
      <c r="B138" s="162" t="s">
        <v>772</v>
      </c>
      <c r="C138" s="162" t="s">
        <v>783</v>
      </c>
      <c r="D138" s="161">
        <v>10198.42</v>
      </c>
      <c r="E138" s="136" t="s">
        <v>205</v>
      </c>
      <c r="F138" s="136" t="s">
        <v>351</v>
      </c>
      <c r="G138" s="136" t="s">
        <v>38</v>
      </c>
      <c r="H138" s="162" t="s">
        <v>778</v>
      </c>
    </row>
    <row r="139" spans="1:8">
      <c r="A139" s="162" t="s">
        <v>786</v>
      </c>
      <c r="B139" s="162" t="s">
        <v>775</v>
      </c>
      <c r="C139" s="162" t="s">
        <v>782</v>
      </c>
      <c r="D139" s="161">
        <v>10201.19</v>
      </c>
      <c r="E139" s="136" t="s">
        <v>82</v>
      </c>
      <c r="F139" s="136" t="s">
        <v>353</v>
      </c>
      <c r="G139" s="136" t="s">
        <v>38</v>
      </c>
      <c r="H139" s="162" t="s">
        <v>780</v>
      </c>
    </row>
    <row r="140" spans="1:8">
      <c r="A140" s="162" t="s">
        <v>771</v>
      </c>
      <c r="B140" s="162" t="s">
        <v>772</v>
      </c>
      <c r="C140" s="162" t="s">
        <v>776</v>
      </c>
      <c r="D140" s="161">
        <v>10203.959999999999</v>
      </c>
      <c r="E140" s="136" t="s">
        <v>356</v>
      </c>
      <c r="F140" s="136" t="s">
        <v>355</v>
      </c>
      <c r="G140" s="136" t="s">
        <v>161</v>
      </c>
      <c r="H140" s="162" t="s">
        <v>780</v>
      </c>
    </row>
    <row r="141" spans="1:8">
      <c r="A141" s="162" t="s">
        <v>781</v>
      </c>
      <c r="B141" s="162" t="s">
        <v>772</v>
      </c>
      <c r="C141" s="162" t="s">
        <v>783</v>
      </c>
      <c r="D141" s="161">
        <v>10206.73</v>
      </c>
      <c r="E141" s="136" t="s">
        <v>359</v>
      </c>
      <c r="F141" s="136" t="s">
        <v>358</v>
      </c>
      <c r="G141" s="136" t="s">
        <v>38</v>
      </c>
      <c r="H141" s="162" t="s">
        <v>778</v>
      </c>
    </row>
    <row r="142" spans="1:8">
      <c r="A142" s="162" t="s">
        <v>781</v>
      </c>
      <c r="B142" s="162" t="s">
        <v>775</v>
      </c>
      <c r="C142" s="162" t="s">
        <v>782</v>
      </c>
      <c r="D142" s="161">
        <v>10209.5</v>
      </c>
      <c r="E142" s="136" t="s">
        <v>336</v>
      </c>
      <c r="F142" s="136" t="s">
        <v>361</v>
      </c>
      <c r="G142" s="136" t="s">
        <v>337</v>
      </c>
      <c r="H142" s="162" t="s">
        <v>780</v>
      </c>
    </row>
    <row r="143" spans="1:8">
      <c r="A143" s="162" t="s">
        <v>781</v>
      </c>
      <c r="B143" s="162" t="s">
        <v>772</v>
      </c>
      <c r="C143" s="162" t="s">
        <v>776</v>
      </c>
      <c r="D143" s="161">
        <v>10212.27</v>
      </c>
      <c r="E143" s="136" t="s">
        <v>359</v>
      </c>
      <c r="F143" s="136" t="s">
        <v>363</v>
      </c>
      <c r="G143" s="136" t="s">
        <v>38</v>
      </c>
      <c r="H143" s="162" t="s">
        <v>780</v>
      </c>
    </row>
    <row r="144" spans="1:8">
      <c r="A144" s="162" t="s">
        <v>781</v>
      </c>
      <c r="B144" s="152" t="s">
        <v>772</v>
      </c>
      <c r="C144" s="152" t="s">
        <v>773</v>
      </c>
      <c r="D144" s="161">
        <v>10215.039999999999</v>
      </c>
      <c r="E144" s="136" t="s">
        <v>66</v>
      </c>
      <c r="F144" s="136" t="s">
        <v>365</v>
      </c>
      <c r="G144" s="136" t="s">
        <v>38</v>
      </c>
      <c r="H144" s="152" t="s">
        <v>774</v>
      </c>
    </row>
    <row r="145" spans="1:8">
      <c r="A145" s="162" t="s">
        <v>781</v>
      </c>
      <c r="B145" s="152" t="s">
        <v>775</v>
      </c>
      <c r="C145" s="152" t="s">
        <v>776</v>
      </c>
      <c r="D145" s="161">
        <v>10217.81</v>
      </c>
      <c r="E145" s="136" t="s">
        <v>368</v>
      </c>
      <c r="F145" s="136" t="s">
        <v>367</v>
      </c>
      <c r="G145" s="136" t="s">
        <v>38</v>
      </c>
      <c r="H145" s="152" t="s">
        <v>777</v>
      </c>
    </row>
    <row r="146" spans="1:8">
      <c r="A146" s="162" t="s">
        <v>786</v>
      </c>
      <c r="B146" s="152" t="s">
        <v>772</v>
      </c>
      <c r="C146" s="152" t="s">
        <v>773</v>
      </c>
      <c r="D146" s="161">
        <v>10220.58</v>
      </c>
      <c r="E146" s="136" t="s">
        <v>371</v>
      </c>
      <c r="F146" s="136" t="s">
        <v>370</v>
      </c>
      <c r="G146" s="136" t="s">
        <v>86</v>
      </c>
      <c r="H146" s="152" t="s">
        <v>774</v>
      </c>
    </row>
    <row r="147" spans="1:8">
      <c r="A147" s="162" t="s">
        <v>786</v>
      </c>
      <c r="B147" s="152" t="s">
        <v>772</v>
      </c>
      <c r="C147" s="152" t="s">
        <v>773</v>
      </c>
      <c r="D147" s="161">
        <v>10223.35</v>
      </c>
      <c r="E147" s="136" t="s">
        <v>155</v>
      </c>
      <c r="F147" s="136" t="s">
        <v>373</v>
      </c>
      <c r="G147" s="136" t="s">
        <v>42</v>
      </c>
      <c r="H147" s="152" t="s">
        <v>778</v>
      </c>
    </row>
    <row r="148" spans="1:8">
      <c r="A148" s="162" t="s">
        <v>786</v>
      </c>
      <c r="B148" s="152" t="s">
        <v>775</v>
      </c>
      <c r="C148" s="152" t="s">
        <v>776</v>
      </c>
      <c r="D148" s="161">
        <v>10330.35</v>
      </c>
      <c r="E148" s="136" t="s">
        <v>376</v>
      </c>
      <c r="F148" s="136" t="s">
        <v>375</v>
      </c>
      <c r="G148" s="136" t="s">
        <v>240</v>
      </c>
      <c r="H148" s="152" t="s">
        <v>778</v>
      </c>
    </row>
    <row r="149" spans="1:8">
      <c r="A149" s="162" t="s">
        <v>779</v>
      </c>
      <c r="B149" s="152" t="s">
        <v>772</v>
      </c>
      <c r="C149" s="152" t="s">
        <v>773</v>
      </c>
      <c r="D149" s="161">
        <v>10437.35</v>
      </c>
      <c r="E149" s="136" t="s">
        <v>138</v>
      </c>
      <c r="F149" s="136" t="s">
        <v>378</v>
      </c>
      <c r="G149" s="136" t="s">
        <v>139</v>
      </c>
      <c r="H149" s="152" t="s">
        <v>778</v>
      </c>
    </row>
    <row r="150" spans="1:8">
      <c r="A150" s="162" t="s">
        <v>779</v>
      </c>
      <c r="B150" s="162" t="s">
        <v>775</v>
      </c>
      <c r="C150" s="162" t="s">
        <v>782</v>
      </c>
      <c r="D150" s="161">
        <v>10544.35</v>
      </c>
      <c r="E150" s="136" t="s">
        <v>138</v>
      </c>
      <c r="F150" s="136" t="s">
        <v>380</v>
      </c>
      <c r="G150" s="136" t="s">
        <v>139</v>
      </c>
      <c r="H150" s="162" t="s">
        <v>778</v>
      </c>
    </row>
    <row r="151" spans="1:8">
      <c r="A151" s="162" t="s">
        <v>787</v>
      </c>
      <c r="B151" s="162" t="s">
        <v>772</v>
      </c>
      <c r="C151" s="162" t="s">
        <v>783</v>
      </c>
      <c r="D151" s="161">
        <v>10651.35</v>
      </c>
      <c r="E151" s="136" t="s">
        <v>85</v>
      </c>
      <c r="F151" s="136" t="s">
        <v>382</v>
      </c>
      <c r="G151" s="136" t="s">
        <v>86</v>
      </c>
      <c r="H151" s="162" t="s">
        <v>778</v>
      </c>
    </row>
    <row r="152" spans="1:8">
      <c r="A152" s="162" t="s">
        <v>787</v>
      </c>
      <c r="B152" s="162" t="s">
        <v>775</v>
      </c>
      <c r="C152" s="162" t="s">
        <v>782</v>
      </c>
      <c r="D152" s="161">
        <v>10758.35</v>
      </c>
      <c r="E152" s="136" t="s">
        <v>85</v>
      </c>
      <c r="F152" s="136" t="s">
        <v>384</v>
      </c>
      <c r="G152" s="136" t="s">
        <v>86</v>
      </c>
      <c r="H152" s="162" t="s">
        <v>780</v>
      </c>
    </row>
    <row r="153" spans="1:8">
      <c r="A153" s="162" t="s">
        <v>787</v>
      </c>
      <c r="B153" s="162" t="s">
        <v>772</v>
      </c>
      <c r="C153" s="162" t="s">
        <v>776</v>
      </c>
      <c r="D153" s="161">
        <v>10865.35</v>
      </c>
      <c r="E153" s="136" t="s">
        <v>85</v>
      </c>
      <c r="F153" s="136" t="s">
        <v>341</v>
      </c>
      <c r="G153" s="136" t="s">
        <v>86</v>
      </c>
      <c r="H153" s="162" t="s">
        <v>780</v>
      </c>
    </row>
    <row r="154" spans="1:8">
      <c r="A154" s="162" t="s">
        <v>787</v>
      </c>
      <c r="B154" s="162" t="s">
        <v>772</v>
      </c>
      <c r="C154" s="162" t="s">
        <v>783</v>
      </c>
      <c r="D154" s="161">
        <v>10972.35</v>
      </c>
      <c r="E154" s="136" t="s">
        <v>85</v>
      </c>
      <c r="F154" s="136" t="s">
        <v>387</v>
      </c>
      <c r="G154" s="136" t="s">
        <v>86</v>
      </c>
      <c r="H154" s="162" t="s">
        <v>778</v>
      </c>
    </row>
    <row r="155" spans="1:8">
      <c r="A155" s="162" t="s">
        <v>779</v>
      </c>
      <c r="B155" s="162" t="s">
        <v>775</v>
      </c>
      <c r="C155" s="162" t="s">
        <v>782</v>
      </c>
      <c r="D155" s="161">
        <v>11079.35</v>
      </c>
      <c r="E155" s="136" t="s">
        <v>138</v>
      </c>
      <c r="F155" s="136" t="s">
        <v>173</v>
      </c>
      <c r="G155" s="136" t="s">
        <v>139</v>
      </c>
      <c r="H155" s="162" t="s">
        <v>780</v>
      </c>
    </row>
    <row r="156" spans="1:8">
      <c r="A156" s="162" t="s">
        <v>779</v>
      </c>
      <c r="B156" s="162" t="s">
        <v>772</v>
      </c>
      <c r="C156" s="162" t="s">
        <v>776</v>
      </c>
      <c r="D156" s="161">
        <v>11186.35</v>
      </c>
      <c r="E156" s="136" t="s">
        <v>45</v>
      </c>
      <c r="F156" s="136" t="s">
        <v>390</v>
      </c>
      <c r="G156" s="136" t="s">
        <v>38</v>
      </c>
      <c r="H156" s="162" t="s">
        <v>780</v>
      </c>
    </row>
    <row r="157" spans="1:8">
      <c r="A157" s="162" t="s">
        <v>787</v>
      </c>
      <c r="B157" s="162" t="s">
        <v>772</v>
      </c>
      <c r="C157" s="162" t="s">
        <v>776</v>
      </c>
      <c r="D157" s="161">
        <v>11293.35</v>
      </c>
      <c r="E157" s="136" t="s">
        <v>85</v>
      </c>
      <c r="F157" s="136" t="s">
        <v>392</v>
      </c>
      <c r="G157" s="136" t="s">
        <v>86</v>
      </c>
      <c r="H157" s="162" t="s">
        <v>780</v>
      </c>
    </row>
    <row r="158" spans="1:8">
      <c r="A158" s="162" t="s">
        <v>787</v>
      </c>
      <c r="B158" s="152" t="s">
        <v>772</v>
      </c>
      <c r="C158" s="152" t="s">
        <v>773</v>
      </c>
      <c r="D158" s="161">
        <v>11400.35</v>
      </c>
      <c r="E158" s="136" t="s">
        <v>85</v>
      </c>
      <c r="F158" s="136" t="s">
        <v>394</v>
      </c>
      <c r="G158" s="136" t="s">
        <v>86</v>
      </c>
      <c r="H158" s="152" t="s">
        <v>774</v>
      </c>
    </row>
    <row r="159" spans="1:8">
      <c r="A159" s="162" t="s">
        <v>784</v>
      </c>
      <c r="B159" s="152" t="s">
        <v>775</v>
      </c>
      <c r="C159" s="152" t="s">
        <v>776</v>
      </c>
      <c r="D159" s="161">
        <v>11507.35</v>
      </c>
      <c r="E159" s="136" t="s">
        <v>85</v>
      </c>
      <c r="F159" s="136" t="s">
        <v>387</v>
      </c>
      <c r="G159" s="136" t="s">
        <v>86</v>
      </c>
      <c r="H159" s="152" t="s">
        <v>777</v>
      </c>
    </row>
    <row r="160" spans="1:8">
      <c r="A160" s="162" t="s">
        <v>788</v>
      </c>
      <c r="B160" s="152" t="s">
        <v>775</v>
      </c>
      <c r="C160" s="152" t="s">
        <v>773</v>
      </c>
      <c r="D160" s="161">
        <v>11614.35</v>
      </c>
      <c r="E160" s="136" t="s">
        <v>85</v>
      </c>
      <c r="F160" s="136" t="s">
        <v>110</v>
      </c>
      <c r="G160" s="136" t="s">
        <v>86</v>
      </c>
      <c r="H160" s="152" t="s">
        <v>778</v>
      </c>
    </row>
    <row r="161" spans="1:8">
      <c r="A161" s="162" t="s">
        <v>789</v>
      </c>
      <c r="B161" s="152" t="s">
        <v>772</v>
      </c>
      <c r="C161" s="152" t="s">
        <v>776</v>
      </c>
      <c r="D161" s="161">
        <v>11721.35</v>
      </c>
      <c r="E161" s="136" t="s">
        <v>85</v>
      </c>
      <c r="F161" s="136" t="s">
        <v>398</v>
      </c>
      <c r="G161" s="136" t="s">
        <v>86</v>
      </c>
      <c r="H161" s="152" t="s">
        <v>780</v>
      </c>
    </row>
    <row r="162" spans="1:8">
      <c r="A162" s="162" t="s">
        <v>790</v>
      </c>
      <c r="B162" s="152" t="s">
        <v>772</v>
      </c>
      <c r="C162" s="152" t="s">
        <v>776</v>
      </c>
      <c r="D162" s="161">
        <v>11828.35</v>
      </c>
      <c r="E162" s="136" t="s">
        <v>85</v>
      </c>
      <c r="F162" s="136" t="s">
        <v>400</v>
      </c>
      <c r="G162" s="136" t="s">
        <v>86</v>
      </c>
      <c r="H162" s="152" t="s">
        <v>774</v>
      </c>
    </row>
    <row r="163" spans="1:8">
      <c r="A163" s="162" t="s">
        <v>791</v>
      </c>
      <c r="B163" s="152" t="s">
        <v>775</v>
      </c>
      <c r="C163" s="152" t="s">
        <v>776</v>
      </c>
      <c r="D163" s="161">
        <v>11935.35</v>
      </c>
      <c r="E163" s="136" t="s">
        <v>402</v>
      </c>
      <c r="F163" s="136" t="s">
        <v>110</v>
      </c>
      <c r="G163" s="136" t="s">
        <v>38</v>
      </c>
      <c r="H163" s="152" t="s">
        <v>780</v>
      </c>
    </row>
    <row r="164" spans="1:8">
      <c r="A164" s="162" t="s">
        <v>787</v>
      </c>
      <c r="B164" s="162" t="s">
        <v>772</v>
      </c>
      <c r="C164" s="162" t="s">
        <v>782</v>
      </c>
      <c r="D164" s="161">
        <v>12042.35</v>
      </c>
      <c r="E164" s="136" t="s">
        <v>405</v>
      </c>
      <c r="F164" s="136" t="s">
        <v>404</v>
      </c>
      <c r="G164" s="136" t="s">
        <v>86</v>
      </c>
      <c r="H164" s="162" t="s">
        <v>774</v>
      </c>
    </row>
    <row r="165" spans="1:8">
      <c r="A165" s="162" t="s">
        <v>784</v>
      </c>
      <c r="B165" s="162" t="s">
        <v>775</v>
      </c>
      <c r="C165" s="162" t="s">
        <v>782</v>
      </c>
      <c r="D165" s="161">
        <v>12149.35</v>
      </c>
      <c r="E165" s="136" t="s">
        <v>89</v>
      </c>
      <c r="F165" s="136" t="s">
        <v>152</v>
      </c>
      <c r="G165" s="136" t="s">
        <v>86</v>
      </c>
      <c r="H165" s="162" t="s">
        <v>778</v>
      </c>
    </row>
    <row r="166" spans="1:8">
      <c r="A166" s="162" t="s">
        <v>787</v>
      </c>
      <c r="B166" s="162" t="s">
        <v>772</v>
      </c>
      <c r="C166" s="162" t="s">
        <v>776</v>
      </c>
      <c r="D166" s="161">
        <v>12256.35</v>
      </c>
      <c r="E166" s="136" t="s">
        <v>138</v>
      </c>
      <c r="F166" s="136" t="s">
        <v>408</v>
      </c>
      <c r="G166" s="136" t="s">
        <v>139</v>
      </c>
      <c r="H166" s="162" t="s">
        <v>780</v>
      </c>
    </row>
    <row r="167" spans="1:8">
      <c r="A167" s="162" t="s">
        <v>787</v>
      </c>
      <c r="B167" s="152" t="s">
        <v>772</v>
      </c>
      <c r="C167" s="152" t="s">
        <v>773</v>
      </c>
      <c r="D167" s="161">
        <v>12363.35</v>
      </c>
      <c r="E167" s="136" t="s">
        <v>85</v>
      </c>
      <c r="F167" s="136" t="s">
        <v>410</v>
      </c>
      <c r="G167" s="136" t="s">
        <v>86</v>
      </c>
      <c r="H167" s="152" t="s">
        <v>774</v>
      </c>
    </row>
    <row r="168" spans="1:8">
      <c r="A168" s="162" t="s">
        <v>784</v>
      </c>
      <c r="B168" s="152" t="s">
        <v>775</v>
      </c>
      <c r="C168" s="152" t="s">
        <v>776</v>
      </c>
      <c r="D168" s="161">
        <v>12470.35</v>
      </c>
      <c r="E168" s="136" t="s">
        <v>85</v>
      </c>
      <c r="F168" s="136" t="s">
        <v>412</v>
      </c>
      <c r="G168" s="136" t="s">
        <v>86</v>
      </c>
      <c r="H168" s="152" t="s">
        <v>777</v>
      </c>
    </row>
    <row r="169" spans="1:8">
      <c r="A169" s="162" t="s">
        <v>788</v>
      </c>
      <c r="B169" s="152" t="s">
        <v>775</v>
      </c>
      <c r="C169" s="152" t="s">
        <v>773</v>
      </c>
      <c r="D169" s="161">
        <v>12577.35</v>
      </c>
      <c r="E169" s="136" t="s">
        <v>89</v>
      </c>
      <c r="F169" s="136" t="s">
        <v>152</v>
      </c>
      <c r="G169" s="136" t="s">
        <v>86</v>
      </c>
      <c r="H169" s="152" t="s">
        <v>778</v>
      </c>
    </row>
    <row r="170" spans="1:8">
      <c r="A170" s="162" t="s">
        <v>789</v>
      </c>
      <c r="B170" s="152" t="s">
        <v>772</v>
      </c>
      <c r="C170" s="152" t="s">
        <v>776</v>
      </c>
      <c r="D170" s="161">
        <v>12684.35</v>
      </c>
      <c r="E170" s="136" t="s">
        <v>85</v>
      </c>
      <c r="F170" s="136" t="s">
        <v>415</v>
      </c>
      <c r="G170" s="136" t="s">
        <v>86</v>
      </c>
      <c r="H170" s="152" t="s">
        <v>780</v>
      </c>
    </row>
    <row r="171" spans="1:8">
      <c r="A171" s="162" t="s">
        <v>790</v>
      </c>
      <c r="B171" s="152" t="s">
        <v>772</v>
      </c>
      <c r="C171" s="152" t="s">
        <v>776</v>
      </c>
      <c r="D171" s="161">
        <v>12791.35</v>
      </c>
      <c r="E171" s="136" t="s">
        <v>85</v>
      </c>
      <c r="F171" s="136" t="s">
        <v>110</v>
      </c>
      <c r="G171" s="136" t="s">
        <v>86</v>
      </c>
      <c r="H171" s="152" t="s">
        <v>774</v>
      </c>
    </row>
    <row r="172" spans="1:8">
      <c r="A172" s="162" t="s">
        <v>791</v>
      </c>
      <c r="B172" s="152" t="s">
        <v>775</v>
      </c>
      <c r="C172" s="152" t="s">
        <v>776</v>
      </c>
      <c r="D172" s="161">
        <v>9292.2000000000007</v>
      </c>
      <c r="E172" s="136" t="s">
        <v>85</v>
      </c>
      <c r="F172" s="136" t="s">
        <v>382</v>
      </c>
      <c r="G172" s="136" t="s">
        <v>86</v>
      </c>
      <c r="H172" s="152" t="s">
        <v>780</v>
      </c>
    </row>
    <row r="173" spans="1:8">
      <c r="A173" s="162" t="s">
        <v>787</v>
      </c>
      <c r="B173" s="162" t="s">
        <v>772</v>
      </c>
      <c r="C173" s="162" t="s">
        <v>782</v>
      </c>
      <c r="D173" s="161">
        <v>9369.5</v>
      </c>
      <c r="E173" s="136" t="s">
        <v>402</v>
      </c>
      <c r="F173" s="136" t="s">
        <v>110</v>
      </c>
      <c r="G173" s="136" t="s">
        <v>38</v>
      </c>
      <c r="H173" s="162" t="s">
        <v>774</v>
      </c>
    </row>
    <row r="174" spans="1:8">
      <c r="A174" s="162" t="s">
        <v>784</v>
      </c>
      <c r="B174" s="162" t="s">
        <v>775</v>
      </c>
      <c r="C174" s="162" t="s">
        <v>782</v>
      </c>
      <c r="D174" s="161">
        <v>9446.7999999999993</v>
      </c>
      <c r="E174" s="136" t="s">
        <v>421</v>
      </c>
      <c r="F174" s="136" t="s">
        <v>420</v>
      </c>
      <c r="G174" s="136" t="s">
        <v>161</v>
      </c>
      <c r="H174" s="162" t="s">
        <v>778</v>
      </c>
    </row>
    <row r="175" spans="1:8">
      <c r="A175" s="162" t="s">
        <v>786</v>
      </c>
      <c r="B175" s="162" t="s">
        <v>775</v>
      </c>
      <c r="C175" s="162" t="s">
        <v>782</v>
      </c>
      <c r="D175" s="161">
        <v>9524.1</v>
      </c>
      <c r="E175" s="136" t="s">
        <v>187</v>
      </c>
      <c r="F175" s="136" t="s">
        <v>423</v>
      </c>
      <c r="G175" s="136" t="s">
        <v>57</v>
      </c>
      <c r="H175" s="162" t="s">
        <v>780</v>
      </c>
    </row>
    <row r="176" spans="1:8">
      <c r="A176" s="162" t="s">
        <v>771</v>
      </c>
      <c r="B176" s="162" t="s">
        <v>772</v>
      </c>
      <c r="C176" s="162" t="s">
        <v>776</v>
      </c>
      <c r="D176" s="161">
        <v>9601.4</v>
      </c>
      <c r="E176" s="136" t="s">
        <v>291</v>
      </c>
      <c r="F176" s="136" t="s">
        <v>425</v>
      </c>
      <c r="G176" s="136" t="s">
        <v>53</v>
      </c>
      <c r="H176" s="162" t="s">
        <v>780</v>
      </c>
    </row>
    <row r="177" spans="1:8">
      <c r="A177" s="162" t="s">
        <v>779</v>
      </c>
      <c r="B177" s="162" t="s">
        <v>772</v>
      </c>
      <c r="C177" s="162" t="s">
        <v>783</v>
      </c>
      <c r="D177" s="161">
        <v>9678.7000000000007</v>
      </c>
      <c r="E177" s="136" t="s">
        <v>291</v>
      </c>
      <c r="F177" s="136" t="s">
        <v>427</v>
      </c>
      <c r="G177" s="136" t="s">
        <v>53</v>
      </c>
      <c r="H177" s="162" t="s">
        <v>778</v>
      </c>
    </row>
    <row r="178" spans="1:8">
      <c r="A178" s="162" t="s">
        <v>792</v>
      </c>
      <c r="B178" s="162" t="s">
        <v>775</v>
      </c>
      <c r="C178" s="162" t="s">
        <v>782</v>
      </c>
      <c r="D178" s="161">
        <v>9756</v>
      </c>
      <c r="E178" s="136" t="s">
        <v>135</v>
      </c>
      <c r="F178" s="136" t="s">
        <v>429</v>
      </c>
      <c r="G178" s="136" t="s">
        <v>38</v>
      </c>
      <c r="H178" s="162" t="s">
        <v>780</v>
      </c>
    </row>
    <row r="179" spans="1:8">
      <c r="A179" s="162" t="s">
        <v>788</v>
      </c>
      <c r="B179" s="162" t="s">
        <v>772</v>
      </c>
      <c r="C179" s="162" t="s">
        <v>776</v>
      </c>
      <c r="D179" s="161">
        <v>9833.2999999999993</v>
      </c>
      <c r="E179" s="136" t="s">
        <v>56</v>
      </c>
      <c r="F179" s="136" t="s">
        <v>431</v>
      </c>
      <c r="G179" s="136" t="s">
        <v>57</v>
      </c>
      <c r="H179" s="162" t="s">
        <v>780</v>
      </c>
    </row>
    <row r="180" spans="1:8">
      <c r="A180" s="162" t="s">
        <v>789</v>
      </c>
      <c r="B180" s="152" t="s">
        <v>775</v>
      </c>
      <c r="C180" s="152" t="s">
        <v>773</v>
      </c>
      <c r="D180" s="161">
        <v>9910.6</v>
      </c>
      <c r="E180" s="136" t="s">
        <v>45</v>
      </c>
      <c r="F180" s="136" t="s">
        <v>97</v>
      </c>
      <c r="G180" s="136" t="s">
        <v>38</v>
      </c>
      <c r="H180" s="152" t="s">
        <v>778</v>
      </c>
    </row>
    <row r="181" spans="1:8">
      <c r="A181" s="162" t="s">
        <v>790</v>
      </c>
      <c r="B181" s="152" t="s">
        <v>772</v>
      </c>
      <c r="C181" s="152" t="s">
        <v>776</v>
      </c>
      <c r="D181" s="161">
        <v>9987.9</v>
      </c>
      <c r="E181" s="136" t="s">
        <v>342</v>
      </c>
      <c r="F181" s="136" t="s">
        <v>341</v>
      </c>
      <c r="G181" s="136" t="s">
        <v>337</v>
      </c>
      <c r="H181" s="152" t="s">
        <v>780</v>
      </c>
    </row>
    <row r="182" spans="1:8">
      <c r="A182" s="162" t="s">
        <v>791</v>
      </c>
      <c r="B182" s="152" t="s">
        <v>772</v>
      </c>
      <c r="C182" s="152" t="s">
        <v>776</v>
      </c>
      <c r="D182" s="161">
        <v>9990.67</v>
      </c>
      <c r="E182" s="136" t="s">
        <v>45</v>
      </c>
      <c r="F182" s="136" t="s">
        <v>435</v>
      </c>
      <c r="G182" s="136" t="s">
        <v>38</v>
      </c>
      <c r="H182" s="152" t="s">
        <v>774</v>
      </c>
    </row>
    <row r="183" spans="1:8">
      <c r="A183" s="162" t="s">
        <v>787</v>
      </c>
      <c r="B183" s="152" t="s">
        <v>775</v>
      </c>
      <c r="C183" s="152" t="s">
        <v>776</v>
      </c>
      <c r="D183" s="161">
        <v>9993.44</v>
      </c>
      <c r="E183" s="136" t="s">
        <v>45</v>
      </c>
      <c r="F183" s="136" t="s">
        <v>437</v>
      </c>
      <c r="G183" s="136" t="s">
        <v>38</v>
      </c>
      <c r="H183" s="152" t="s">
        <v>780</v>
      </c>
    </row>
    <row r="184" spans="1:8">
      <c r="A184" s="162" t="s">
        <v>784</v>
      </c>
      <c r="B184" s="162" t="s">
        <v>772</v>
      </c>
      <c r="C184" s="162" t="s">
        <v>782</v>
      </c>
      <c r="D184" s="161">
        <v>9996.2099999999991</v>
      </c>
      <c r="E184" s="136" t="s">
        <v>56</v>
      </c>
      <c r="F184" s="136" t="s">
        <v>439</v>
      </c>
      <c r="G184" s="136" t="s">
        <v>57</v>
      </c>
      <c r="H184" s="162" t="s">
        <v>774</v>
      </c>
    </row>
    <row r="185" spans="1:8">
      <c r="A185" s="162" t="s">
        <v>785</v>
      </c>
      <c r="B185" s="162" t="s">
        <v>775</v>
      </c>
      <c r="C185" s="162" t="s">
        <v>782</v>
      </c>
      <c r="D185" s="161">
        <v>9998.98</v>
      </c>
      <c r="E185" s="136" t="s">
        <v>73</v>
      </c>
      <c r="F185" s="136" t="s">
        <v>441</v>
      </c>
      <c r="G185" s="136" t="s">
        <v>38</v>
      </c>
      <c r="H185" s="162" t="s">
        <v>778</v>
      </c>
    </row>
    <row r="186" spans="1:8">
      <c r="A186" s="162" t="s">
        <v>781</v>
      </c>
      <c r="B186" s="162" t="s">
        <v>772</v>
      </c>
      <c r="C186" s="162" t="s">
        <v>783</v>
      </c>
      <c r="D186" s="161">
        <v>10001.75</v>
      </c>
      <c r="E186" s="136" t="s">
        <v>76</v>
      </c>
      <c r="F186" s="136" t="s">
        <v>443</v>
      </c>
      <c r="G186" s="136" t="s">
        <v>77</v>
      </c>
      <c r="H186" s="162" t="s">
        <v>778</v>
      </c>
    </row>
    <row r="187" spans="1:8">
      <c r="A187" s="162" t="s">
        <v>786</v>
      </c>
      <c r="B187" s="162" t="s">
        <v>775</v>
      </c>
      <c r="C187" s="162" t="s">
        <v>782</v>
      </c>
      <c r="D187" s="161">
        <v>10004.52</v>
      </c>
      <c r="E187" s="136" t="s">
        <v>73</v>
      </c>
      <c r="F187" s="136" t="s">
        <v>445</v>
      </c>
      <c r="G187" s="136" t="s">
        <v>38</v>
      </c>
      <c r="H187" s="162" t="s">
        <v>780</v>
      </c>
    </row>
    <row r="188" spans="1:8">
      <c r="A188" s="162" t="s">
        <v>771</v>
      </c>
      <c r="B188" s="162" t="s">
        <v>772</v>
      </c>
      <c r="C188" s="162" t="s">
        <v>776</v>
      </c>
      <c r="D188" s="161">
        <v>10007.289999999999</v>
      </c>
      <c r="E188" s="136" t="s">
        <v>127</v>
      </c>
      <c r="F188" s="136" t="s">
        <v>110</v>
      </c>
      <c r="G188" s="136" t="s">
        <v>57</v>
      </c>
      <c r="H188" s="162" t="s">
        <v>780</v>
      </c>
    </row>
    <row r="189" spans="1:8">
      <c r="A189" s="162" t="s">
        <v>781</v>
      </c>
      <c r="B189" s="162" t="s">
        <v>772</v>
      </c>
      <c r="C189" s="162" t="s">
        <v>783</v>
      </c>
      <c r="D189" s="161">
        <v>10010.06</v>
      </c>
      <c r="E189" s="136" t="s">
        <v>45</v>
      </c>
      <c r="F189" s="136" t="s">
        <v>448</v>
      </c>
      <c r="G189" s="136" t="s">
        <v>38</v>
      </c>
      <c r="H189" s="162" t="s">
        <v>778</v>
      </c>
    </row>
    <row r="190" spans="1:8">
      <c r="A190" s="162" t="s">
        <v>781</v>
      </c>
      <c r="B190" s="162" t="s">
        <v>775</v>
      </c>
      <c r="C190" s="162" t="s">
        <v>782</v>
      </c>
      <c r="D190" s="161">
        <v>10012.83</v>
      </c>
      <c r="E190" s="136" t="s">
        <v>45</v>
      </c>
      <c r="F190" s="136" t="s">
        <v>450</v>
      </c>
      <c r="G190" s="136" t="s">
        <v>38</v>
      </c>
      <c r="H190" s="162" t="s">
        <v>780</v>
      </c>
    </row>
    <row r="191" spans="1:8">
      <c r="A191" s="162" t="s">
        <v>781</v>
      </c>
      <c r="B191" s="162" t="s">
        <v>772</v>
      </c>
      <c r="C191" s="162" t="s">
        <v>776</v>
      </c>
      <c r="D191" s="161">
        <v>10015.6</v>
      </c>
      <c r="E191" s="136" t="s">
        <v>56</v>
      </c>
      <c r="F191" s="136" t="s">
        <v>132</v>
      </c>
      <c r="G191" s="136" t="s">
        <v>57</v>
      </c>
      <c r="H191" s="162" t="s">
        <v>780</v>
      </c>
    </row>
    <row r="192" spans="1:8">
      <c r="A192" s="162" t="s">
        <v>781</v>
      </c>
      <c r="B192" s="152" t="s">
        <v>772</v>
      </c>
      <c r="C192" s="152" t="s">
        <v>773</v>
      </c>
      <c r="D192" s="161">
        <v>10018.369999999999</v>
      </c>
      <c r="E192" s="136" t="s">
        <v>243</v>
      </c>
      <c r="F192" s="136" t="s">
        <v>453</v>
      </c>
      <c r="G192" s="136" t="s">
        <v>240</v>
      </c>
      <c r="H192" s="152" t="s">
        <v>774</v>
      </c>
    </row>
    <row r="193" spans="1:8">
      <c r="A193" s="162" t="s">
        <v>781</v>
      </c>
      <c r="B193" s="152" t="s">
        <v>775</v>
      </c>
      <c r="C193" s="152" t="s">
        <v>776</v>
      </c>
      <c r="D193" s="161">
        <v>10021.14</v>
      </c>
      <c r="E193" s="136" t="s">
        <v>37</v>
      </c>
      <c r="F193" s="136" t="s">
        <v>455</v>
      </c>
      <c r="G193" s="136" t="s">
        <v>38</v>
      </c>
      <c r="H193" s="152" t="s">
        <v>777</v>
      </c>
    </row>
    <row r="194" spans="1:8">
      <c r="A194" s="162" t="s">
        <v>786</v>
      </c>
      <c r="B194" s="152" t="s">
        <v>772</v>
      </c>
      <c r="C194" s="152" t="s">
        <v>773</v>
      </c>
      <c r="D194" s="161">
        <v>10023.91</v>
      </c>
      <c r="E194" s="136" t="s">
        <v>251</v>
      </c>
      <c r="F194" s="136" t="s">
        <v>457</v>
      </c>
      <c r="G194" s="136" t="s">
        <v>252</v>
      </c>
      <c r="H194" s="152" t="s">
        <v>774</v>
      </c>
    </row>
    <row r="195" spans="1:8">
      <c r="A195" s="162" t="s">
        <v>786</v>
      </c>
      <c r="B195" s="152" t="s">
        <v>772</v>
      </c>
      <c r="C195" s="152" t="s">
        <v>773</v>
      </c>
      <c r="D195" s="161">
        <v>10026.68</v>
      </c>
      <c r="E195" s="136" t="s">
        <v>460</v>
      </c>
      <c r="F195" s="136" t="s">
        <v>459</v>
      </c>
      <c r="G195" s="136" t="s">
        <v>38</v>
      </c>
      <c r="H195" s="152" t="s">
        <v>778</v>
      </c>
    </row>
    <row r="196" spans="1:8">
      <c r="A196" s="162" t="s">
        <v>786</v>
      </c>
      <c r="B196" s="152" t="s">
        <v>775</v>
      </c>
      <c r="C196" s="152" t="s">
        <v>776</v>
      </c>
      <c r="D196" s="161">
        <v>12149.35</v>
      </c>
      <c r="E196" s="136" t="s">
        <v>463</v>
      </c>
      <c r="F196" s="136" t="s">
        <v>462</v>
      </c>
      <c r="G196" s="136" t="s">
        <v>38</v>
      </c>
      <c r="H196" s="152" t="s">
        <v>778</v>
      </c>
    </row>
    <row r="197" spans="1:8">
      <c r="A197" s="162" t="s">
        <v>779</v>
      </c>
      <c r="B197" s="152" t="s">
        <v>772</v>
      </c>
      <c r="C197" s="152" t="s">
        <v>773</v>
      </c>
      <c r="D197" s="161">
        <v>12256.35</v>
      </c>
      <c r="E197" s="136" t="s">
        <v>234</v>
      </c>
      <c r="F197" s="136" t="s">
        <v>110</v>
      </c>
      <c r="G197" s="136" t="s">
        <v>38</v>
      </c>
      <c r="H197" s="152" t="s">
        <v>778</v>
      </c>
    </row>
    <row r="198" spans="1:8">
      <c r="A198" s="162" t="s">
        <v>779</v>
      </c>
      <c r="B198" s="162" t="s">
        <v>775</v>
      </c>
      <c r="C198" s="162" t="s">
        <v>782</v>
      </c>
      <c r="D198" s="161">
        <v>12363.35</v>
      </c>
      <c r="E198" s="136" t="s">
        <v>239</v>
      </c>
      <c r="F198" s="136" t="s">
        <v>238</v>
      </c>
      <c r="G198" s="136" t="s">
        <v>240</v>
      </c>
      <c r="H198" s="162" t="s">
        <v>778</v>
      </c>
    </row>
    <row r="199" spans="1:8">
      <c r="A199" s="162" t="s">
        <v>787</v>
      </c>
      <c r="B199" s="162" t="s">
        <v>772</v>
      </c>
      <c r="C199" s="162" t="s">
        <v>783</v>
      </c>
      <c r="D199" s="161">
        <v>12470.35</v>
      </c>
      <c r="E199" s="136" t="s">
        <v>257</v>
      </c>
      <c r="F199" s="136" t="s">
        <v>467</v>
      </c>
      <c r="G199" s="136" t="s">
        <v>38</v>
      </c>
      <c r="H199" s="162" t="s">
        <v>778</v>
      </c>
    </row>
    <row r="200" spans="1:8">
      <c r="A200" s="162" t="s">
        <v>787</v>
      </c>
      <c r="B200" s="162" t="s">
        <v>775</v>
      </c>
      <c r="C200" s="162" t="s">
        <v>782</v>
      </c>
      <c r="D200" s="161">
        <v>12577.35</v>
      </c>
      <c r="E200" s="136" t="s">
        <v>37</v>
      </c>
      <c r="F200" s="136" t="s">
        <v>469</v>
      </c>
      <c r="G200" s="136" t="s">
        <v>38</v>
      </c>
      <c r="H200" s="162" t="s">
        <v>780</v>
      </c>
    </row>
    <row r="201" spans="1:8">
      <c r="A201" s="162" t="s">
        <v>787</v>
      </c>
      <c r="B201" s="162" t="s">
        <v>772</v>
      </c>
      <c r="C201" s="162" t="s">
        <v>776</v>
      </c>
      <c r="D201" s="161">
        <v>12684.35</v>
      </c>
      <c r="E201" s="136" t="s">
        <v>144</v>
      </c>
      <c r="F201" s="136" t="s">
        <v>471</v>
      </c>
      <c r="G201" s="136" t="s">
        <v>57</v>
      </c>
      <c r="H201" s="162" t="s">
        <v>780</v>
      </c>
    </row>
    <row r="202" spans="1:8">
      <c r="A202" s="162" t="s">
        <v>787</v>
      </c>
      <c r="B202" s="162" t="s">
        <v>772</v>
      </c>
      <c r="C202" s="162" t="s">
        <v>783</v>
      </c>
      <c r="D202" s="161">
        <v>12791.35</v>
      </c>
      <c r="E202" s="136" t="s">
        <v>243</v>
      </c>
      <c r="F202" s="136" t="s">
        <v>473</v>
      </c>
      <c r="G202" s="136" t="s">
        <v>240</v>
      </c>
      <c r="H202" s="162" t="s">
        <v>778</v>
      </c>
    </row>
    <row r="203" spans="1:8">
      <c r="A203" s="162" t="s">
        <v>779</v>
      </c>
      <c r="B203" s="162" t="s">
        <v>775</v>
      </c>
      <c r="C203" s="162" t="s">
        <v>782</v>
      </c>
      <c r="D203" s="161">
        <v>9292.2000000000007</v>
      </c>
      <c r="E203" s="136" t="s">
        <v>476</v>
      </c>
      <c r="F203" s="136" t="s">
        <v>475</v>
      </c>
      <c r="G203" s="136" t="s">
        <v>161</v>
      </c>
      <c r="H203" s="162" t="s">
        <v>780</v>
      </c>
    </row>
    <row r="204" spans="1:8">
      <c r="A204" s="162" t="s">
        <v>779</v>
      </c>
      <c r="B204" s="162" t="s">
        <v>772</v>
      </c>
      <c r="C204" s="162" t="s">
        <v>776</v>
      </c>
      <c r="D204" s="161">
        <v>9369.5</v>
      </c>
      <c r="E204" s="136" t="s">
        <v>476</v>
      </c>
      <c r="F204" s="136" t="s">
        <v>478</v>
      </c>
      <c r="G204" s="136" t="s">
        <v>161</v>
      </c>
      <c r="H204" s="162" t="s">
        <v>780</v>
      </c>
    </row>
    <row r="205" spans="1:8">
      <c r="A205" s="162" t="s">
        <v>786</v>
      </c>
      <c r="B205" s="152" t="s">
        <v>772</v>
      </c>
      <c r="C205" s="152" t="s">
        <v>773</v>
      </c>
      <c r="D205" s="161">
        <v>9446.7999999999993</v>
      </c>
      <c r="E205" s="136" t="s">
        <v>45</v>
      </c>
      <c r="F205" s="136" t="s">
        <v>480</v>
      </c>
      <c r="G205" s="136" t="s">
        <v>38</v>
      </c>
      <c r="H205" s="152" t="s">
        <v>774</v>
      </c>
    </row>
    <row r="206" spans="1:8">
      <c r="A206" s="162" t="s">
        <v>786</v>
      </c>
      <c r="B206" s="152" t="s">
        <v>772</v>
      </c>
      <c r="C206" s="152" t="s">
        <v>773</v>
      </c>
      <c r="D206" s="161">
        <v>9524.1</v>
      </c>
      <c r="E206" s="136" t="s">
        <v>45</v>
      </c>
      <c r="F206" s="136" t="s">
        <v>482</v>
      </c>
      <c r="G206" s="136" t="s">
        <v>38</v>
      </c>
      <c r="H206" s="152" t="s">
        <v>778</v>
      </c>
    </row>
    <row r="207" spans="1:8">
      <c r="A207" s="162" t="s">
        <v>786</v>
      </c>
      <c r="B207" s="152" t="s">
        <v>775</v>
      </c>
      <c r="C207" s="152" t="s">
        <v>776</v>
      </c>
      <c r="D207" s="161">
        <v>9601.4</v>
      </c>
      <c r="E207" s="136" t="s">
        <v>476</v>
      </c>
      <c r="F207" s="136" t="s">
        <v>484</v>
      </c>
      <c r="G207" s="136" t="s">
        <v>161</v>
      </c>
      <c r="H207" s="152" t="s">
        <v>778</v>
      </c>
    </row>
    <row r="208" spans="1:8">
      <c r="A208" s="162" t="s">
        <v>779</v>
      </c>
      <c r="B208" s="152" t="s">
        <v>772</v>
      </c>
      <c r="C208" s="152" t="s">
        <v>773</v>
      </c>
      <c r="D208" s="161">
        <v>9678.7000000000007</v>
      </c>
      <c r="E208" s="136" t="s">
        <v>317</v>
      </c>
      <c r="F208" s="136" t="s">
        <v>108</v>
      </c>
      <c r="G208" s="136" t="s">
        <v>38</v>
      </c>
      <c r="H208" s="152" t="s">
        <v>778</v>
      </c>
    </row>
    <row r="209" spans="1:8">
      <c r="A209" s="162" t="s">
        <v>779</v>
      </c>
      <c r="B209" s="162" t="s">
        <v>775</v>
      </c>
      <c r="C209" s="162" t="s">
        <v>782</v>
      </c>
      <c r="D209" s="161">
        <v>9756</v>
      </c>
      <c r="E209" s="136" t="s">
        <v>488</v>
      </c>
      <c r="F209" s="136" t="s">
        <v>487</v>
      </c>
      <c r="G209" s="136" t="s">
        <v>337</v>
      </c>
      <c r="H209" s="162" t="s">
        <v>778</v>
      </c>
    </row>
    <row r="210" spans="1:8">
      <c r="A210" s="162" t="s">
        <v>787</v>
      </c>
      <c r="B210" s="162" t="s">
        <v>772</v>
      </c>
      <c r="C210" s="162" t="s">
        <v>783</v>
      </c>
      <c r="D210" s="161">
        <v>9833.2999999999993</v>
      </c>
      <c r="E210" s="136" t="s">
        <v>336</v>
      </c>
      <c r="F210" s="136" t="s">
        <v>361</v>
      </c>
      <c r="G210" s="136" t="s">
        <v>337</v>
      </c>
      <c r="H210" s="162" t="s">
        <v>778</v>
      </c>
    </row>
    <row r="211" spans="1:8">
      <c r="A211" s="162" t="s">
        <v>787</v>
      </c>
      <c r="B211" s="162" t="s">
        <v>775</v>
      </c>
      <c r="C211" s="162" t="s">
        <v>782</v>
      </c>
      <c r="D211" s="161">
        <v>9910.6</v>
      </c>
      <c r="E211" s="136" t="s">
        <v>336</v>
      </c>
      <c r="F211" s="136" t="s">
        <v>491</v>
      </c>
      <c r="G211" s="136" t="s">
        <v>337</v>
      </c>
      <c r="H211" s="162" t="s">
        <v>780</v>
      </c>
    </row>
    <row r="212" spans="1:8">
      <c r="A212" s="162" t="s">
        <v>787</v>
      </c>
      <c r="B212" s="162" t="s">
        <v>772</v>
      </c>
      <c r="C212" s="162" t="s">
        <v>776</v>
      </c>
      <c r="D212" s="161">
        <v>9987.9</v>
      </c>
      <c r="E212" s="136" t="s">
        <v>56</v>
      </c>
      <c r="F212" s="136" t="s">
        <v>171</v>
      </c>
      <c r="G212" s="136" t="s">
        <v>57</v>
      </c>
      <c r="H212" s="162" t="s">
        <v>780</v>
      </c>
    </row>
    <row r="213" spans="1:8">
      <c r="A213" s="162" t="s">
        <v>787</v>
      </c>
      <c r="B213" s="162" t="s">
        <v>772</v>
      </c>
      <c r="C213" s="162" t="s">
        <v>783</v>
      </c>
      <c r="D213" s="161">
        <v>9990.67</v>
      </c>
      <c r="E213" s="136" t="s">
        <v>82</v>
      </c>
      <c r="F213" s="136" t="s">
        <v>494</v>
      </c>
      <c r="G213" s="136" t="s">
        <v>38</v>
      </c>
      <c r="H213" s="162" t="s">
        <v>778</v>
      </c>
    </row>
    <row r="214" spans="1:8">
      <c r="A214" s="162" t="s">
        <v>781</v>
      </c>
      <c r="B214" s="152" t="s">
        <v>772</v>
      </c>
      <c r="C214" s="152" t="s">
        <v>773</v>
      </c>
      <c r="D214" s="161">
        <v>9993.44</v>
      </c>
      <c r="E214" s="136" t="s">
        <v>336</v>
      </c>
      <c r="F214" s="136" t="s">
        <v>496</v>
      </c>
      <c r="G214" s="136" t="s">
        <v>337</v>
      </c>
      <c r="H214" s="152" t="s">
        <v>774</v>
      </c>
    </row>
    <row r="215" spans="1:8">
      <c r="A215" s="162" t="s">
        <v>781</v>
      </c>
      <c r="B215" s="152" t="s">
        <v>775</v>
      </c>
      <c r="C215" s="152" t="s">
        <v>776</v>
      </c>
      <c r="D215" s="161">
        <v>9996.2099999999991</v>
      </c>
      <c r="E215" s="136" t="s">
        <v>356</v>
      </c>
      <c r="F215" s="136" t="s">
        <v>110</v>
      </c>
      <c r="G215" s="136" t="s">
        <v>161</v>
      </c>
      <c r="H215" s="152" t="s">
        <v>777</v>
      </c>
    </row>
    <row r="216" spans="1:8">
      <c r="A216" s="162" t="s">
        <v>786</v>
      </c>
      <c r="B216" s="152" t="s">
        <v>772</v>
      </c>
      <c r="C216" s="152" t="s">
        <v>773</v>
      </c>
      <c r="D216" s="161">
        <v>10010.06</v>
      </c>
      <c r="E216" s="136" t="s">
        <v>66</v>
      </c>
      <c r="F216" s="136" t="s">
        <v>499</v>
      </c>
      <c r="G216" s="136" t="s">
        <v>38</v>
      </c>
      <c r="H216" s="152" t="s">
        <v>774</v>
      </c>
    </row>
    <row r="217" spans="1:8">
      <c r="A217" s="162" t="s">
        <v>786</v>
      </c>
      <c r="B217" s="152" t="s">
        <v>772</v>
      </c>
      <c r="C217" s="152" t="s">
        <v>773</v>
      </c>
      <c r="D217" s="161">
        <v>10012.83</v>
      </c>
      <c r="E217" s="136" t="s">
        <v>502</v>
      </c>
      <c r="F217" s="136" t="s">
        <v>501</v>
      </c>
      <c r="G217" s="136" t="s">
        <v>38</v>
      </c>
      <c r="H217" s="152" t="s">
        <v>778</v>
      </c>
    </row>
    <row r="218" spans="1:8">
      <c r="A218" s="162" t="s">
        <v>786</v>
      </c>
      <c r="B218" s="152" t="s">
        <v>775</v>
      </c>
      <c r="C218" s="152" t="s">
        <v>776</v>
      </c>
      <c r="D218" s="161">
        <v>10015.6</v>
      </c>
      <c r="E218" s="136" t="s">
        <v>476</v>
      </c>
      <c r="F218" s="136" t="s">
        <v>504</v>
      </c>
      <c r="G218" s="136" t="s">
        <v>161</v>
      </c>
      <c r="H218" s="152" t="s">
        <v>778</v>
      </c>
    </row>
    <row r="219" spans="1:8">
      <c r="A219" s="162" t="s">
        <v>779</v>
      </c>
      <c r="B219" s="152" t="s">
        <v>772</v>
      </c>
      <c r="C219" s="152" t="s">
        <v>773</v>
      </c>
      <c r="D219" s="161">
        <v>10018.369999999999</v>
      </c>
      <c r="E219" s="136" t="s">
        <v>177</v>
      </c>
      <c r="F219" s="136" t="s">
        <v>506</v>
      </c>
      <c r="G219" s="136" t="s">
        <v>38</v>
      </c>
      <c r="H219" s="152" t="s">
        <v>778</v>
      </c>
    </row>
    <row r="220" spans="1:8">
      <c r="A220" s="162" t="s">
        <v>779</v>
      </c>
      <c r="B220" s="162" t="s">
        <v>775</v>
      </c>
      <c r="C220" s="162" t="s">
        <v>782</v>
      </c>
      <c r="D220" s="161">
        <v>10021.14</v>
      </c>
      <c r="E220" s="136" t="s">
        <v>45</v>
      </c>
      <c r="F220" s="136" t="s">
        <v>508</v>
      </c>
      <c r="G220" s="136" t="s">
        <v>38</v>
      </c>
      <c r="H220" s="162" t="s">
        <v>778</v>
      </c>
    </row>
    <row r="221" spans="1:8">
      <c r="A221" s="162" t="s">
        <v>787</v>
      </c>
      <c r="B221" s="162" t="s">
        <v>772</v>
      </c>
      <c r="C221" s="162" t="s">
        <v>783</v>
      </c>
      <c r="D221" s="161">
        <v>10023.91</v>
      </c>
      <c r="E221" s="136" t="s">
        <v>511</v>
      </c>
      <c r="F221" s="136" t="s">
        <v>510</v>
      </c>
      <c r="G221" s="136" t="s">
        <v>38</v>
      </c>
      <c r="H221" s="162" t="s">
        <v>778</v>
      </c>
    </row>
    <row r="222" spans="1:8">
      <c r="A222" s="162" t="s">
        <v>787</v>
      </c>
      <c r="B222" s="162" t="s">
        <v>775</v>
      </c>
      <c r="C222" s="162" t="s">
        <v>782</v>
      </c>
      <c r="D222" s="161">
        <v>10026.68</v>
      </c>
      <c r="E222" s="136" t="s">
        <v>368</v>
      </c>
      <c r="F222" s="136" t="s">
        <v>513</v>
      </c>
      <c r="G222" s="136" t="s">
        <v>38</v>
      </c>
      <c r="H222" s="162" t="s">
        <v>780</v>
      </c>
    </row>
    <row r="223" spans="1:8">
      <c r="A223" s="162" t="s">
        <v>787</v>
      </c>
      <c r="B223" s="162" t="s">
        <v>772</v>
      </c>
      <c r="C223" s="162" t="s">
        <v>776</v>
      </c>
      <c r="D223" s="161">
        <v>12149.35</v>
      </c>
      <c r="E223" s="136" t="s">
        <v>45</v>
      </c>
      <c r="F223" s="136" t="s">
        <v>515</v>
      </c>
      <c r="G223" s="136" t="s">
        <v>38</v>
      </c>
      <c r="H223" s="162" t="s">
        <v>780</v>
      </c>
    </row>
    <row r="224" spans="1:8">
      <c r="A224" s="162" t="s">
        <v>787</v>
      </c>
      <c r="B224" s="162" t="s">
        <v>772</v>
      </c>
      <c r="C224" s="162" t="s">
        <v>783</v>
      </c>
      <c r="D224" s="161">
        <v>12256.35</v>
      </c>
      <c r="E224" s="136" t="s">
        <v>518</v>
      </c>
      <c r="F224" s="136" t="s">
        <v>517</v>
      </c>
      <c r="G224" s="136" t="s">
        <v>42</v>
      </c>
      <c r="H224" s="162" t="s">
        <v>778</v>
      </c>
    </row>
    <row r="225" spans="1:8">
      <c r="A225" s="162" t="s">
        <v>784</v>
      </c>
      <c r="B225" s="152" t="s">
        <v>775</v>
      </c>
      <c r="C225" s="152" t="s">
        <v>773</v>
      </c>
      <c r="D225" s="161">
        <v>12363.35</v>
      </c>
      <c r="E225" s="136" t="s">
        <v>76</v>
      </c>
      <c r="F225" s="136" t="s">
        <v>520</v>
      </c>
      <c r="G225" s="136" t="s">
        <v>77</v>
      </c>
      <c r="H225" s="152" t="s">
        <v>780</v>
      </c>
    </row>
    <row r="226" spans="1:8">
      <c r="A226" s="162" t="s">
        <v>784</v>
      </c>
      <c r="B226" s="152" t="s">
        <v>772</v>
      </c>
      <c r="C226" s="152" t="s">
        <v>776</v>
      </c>
      <c r="D226" s="161">
        <v>12470.35</v>
      </c>
      <c r="E226" s="136" t="s">
        <v>376</v>
      </c>
      <c r="F226" s="136" t="s">
        <v>375</v>
      </c>
      <c r="G226" s="136" t="s">
        <v>240</v>
      </c>
      <c r="H226" s="152" t="s">
        <v>774</v>
      </c>
    </row>
    <row r="227" spans="1:8">
      <c r="A227" s="162" t="s">
        <v>784</v>
      </c>
      <c r="B227" s="152" t="s">
        <v>772</v>
      </c>
      <c r="C227" s="152" t="s">
        <v>776</v>
      </c>
      <c r="D227" s="161">
        <v>12577.35</v>
      </c>
      <c r="E227" s="136" t="s">
        <v>123</v>
      </c>
      <c r="F227" s="136" t="s">
        <v>523</v>
      </c>
      <c r="G227" s="136" t="s">
        <v>57</v>
      </c>
      <c r="H227" s="152" t="s">
        <v>780</v>
      </c>
    </row>
    <row r="228" spans="1:8">
      <c r="A228" s="162" t="s">
        <v>784</v>
      </c>
      <c r="B228" s="152" t="s">
        <v>775</v>
      </c>
      <c r="C228" s="152" t="s">
        <v>776</v>
      </c>
      <c r="D228" s="161">
        <v>9910.6</v>
      </c>
      <c r="E228" s="136" t="s">
        <v>476</v>
      </c>
      <c r="F228" s="136" t="s">
        <v>525</v>
      </c>
      <c r="G228" s="136" t="s">
        <v>161</v>
      </c>
      <c r="H228" s="162" t="s">
        <v>774</v>
      </c>
    </row>
    <row r="229" spans="1:8">
      <c r="A229" s="162" t="s">
        <v>785</v>
      </c>
      <c r="B229" s="162" t="s">
        <v>772</v>
      </c>
      <c r="C229" s="162" t="s">
        <v>782</v>
      </c>
      <c r="D229" s="161">
        <v>9987.9</v>
      </c>
      <c r="E229" s="136" t="s">
        <v>76</v>
      </c>
      <c r="F229" s="136" t="s">
        <v>141</v>
      </c>
      <c r="G229" s="136" t="s">
        <v>267</v>
      </c>
      <c r="H229" s="162" t="s">
        <v>778</v>
      </c>
    </row>
    <row r="230" spans="1:8">
      <c r="A230" s="162" t="s">
        <v>785</v>
      </c>
      <c r="B230" s="162" t="s">
        <v>775</v>
      </c>
      <c r="C230" s="162" t="s">
        <v>782</v>
      </c>
      <c r="D230" s="161">
        <v>9990.67</v>
      </c>
      <c r="E230" s="136" t="s">
        <v>76</v>
      </c>
      <c r="F230" s="136" t="s">
        <v>528</v>
      </c>
      <c r="G230" s="136" t="s">
        <v>77</v>
      </c>
      <c r="H230" s="162" t="s">
        <v>778</v>
      </c>
    </row>
    <row r="231" spans="1:8">
      <c r="A231" s="162" t="s">
        <v>785</v>
      </c>
      <c r="B231" s="162" t="s">
        <v>772</v>
      </c>
      <c r="C231" s="162" t="s">
        <v>783</v>
      </c>
      <c r="D231" s="161">
        <v>9993.44</v>
      </c>
      <c r="E231" s="136" t="s">
        <v>76</v>
      </c>
      <c r="F231" s="136" t="s">
        <v>530</v>
      </c>
      <c r="G231" s="136" t="s">
        <v>77</v>
      </c>
      <c r="H231" s="162" t="s">
        <v>780</v>
      </c>
    </row>
    <row r="232" spans="1:8">
      <c r="A232" s="162" t="s">
        <v>785</v>
      </c>
      <c r="B232" s="162" t="s">
        <v>775</v>
      </c>
      <c r="C232" s="162" t="s">
        <v>782</v>
      </c>
      <c r="D232" s="161">
        <v>9996.2099999999991</v>
      </c>
      <c r="E232" s="136" t="s">
        <v>187</v>
      </c>
      <c r="F232" s="136" t="s">
        <v>532</v>
      </c>
      <c r="G232" s="136" t="s">
        <v>57</v>
      </c>
      <c r="H232" s="162" t="s">
        <v>780</v>
      </c>
    </row>
    <row r="233" spans="1:8">
      <c r="A233" s="162" t="s">
        <v>785</v>
      </c>
      <c r="B233" s="162" t="s">
        <v>772</v>
      </c>
      <c r="C233" s="162" t="s">
        <v>776</v>
      </c>
      <c r="D233" s="161">
        <v>10010.06</v>
      </c>
      <c r="E233" s="136" t="s">
        <v>45</v>
      </c>
      <c r="F233" s="136" t="s">
        <v>534</v>
      </c>
      <c r="G233" s="136" t="s">
        <v>38</v>
      </c>
      <c r="H233" s="152" t="s">
        <v>777</v>
      </c>
    </row>
    <row r="234" spans="1:8">
      <c r="A234" s="162" t="s">
        <v>785</v>
      </c>
      <c r="B234" s="162" t="s">
        <v>772</v>
      </c>
      <c r="C234" s="162" t="s">
        <v>783</v>
      </c>
      <c r="D234" s="161">
        <v>10012.83</v>
      </c>
      <c r="E234" s="136" t="s">
        <v>291</v>
      </c>
      <c r="F234" s="136" t="s">
        <v>427</v>
      </c>
      <c r="G234" s="136" t="s">
        <v>53</v>
      </c>
      <c r="H234" s="162" t="s">
        <v>780</v>
      </c>
    </row>
    <row r="235" spans="1:8">
      <c r="A235" s="162" t="s">
        <v>785</v>
      </c>
      <c r="B235" s="152" t="s">
        <v>772</v>
      </c>
      <c r="C235" s="152" t="s">
        <v>773</v>
      </c>
      <c r="D235" s="161">
        <v>9910.6</v>
      </c>
      <c r="E235" s="136" t="s">
        <v>537</v>
      </c>
      <c r="F235" s="136" t="s">
        <v>110</v>
      </c>
      <c r="G235" s="136" t="s">
        <v>57</v>
      </c>
      <c r="H235" s="152" t="s">
        <v>778</v>
      </c>
    </row>
    <row r="236" spans="1:8">
      <c r="A236" s="152" t="s">
        <v>771</v>
      </c>
      <c r="B236" s="152" t="s">
        <v>775</v>
      </c>
      <c r="C236" s="152" t="s">
        <v>776</v>
      </c>
      <c r="D236" s="161">
        <v>9987.9</v>
      </c>
      <c r="E236" s="136" t="s">
        <v>476</v>
      </c>
      <c r="F236" s="136" t="s">
        <v>539</v>
      </c>
      <c r="G236" s="136" t="s">
        <v>161</v>
      </c>
      <c r="H236" s="152" t="s">
        <v>777</v>
      </c>
    </row>
    <row r="237" spans="1:8">
      <c r="A237" s="152" t="s">
        <v>771</v>
      </c>
      <c r="B237" s="152" t="s">
        <v>772</v>
      </c>
      <c r="C237" s="152" t="s">
        <v>773</v>
      </c>
      <c r="D237" s="161">
        <v>9990.67</v>
      </c>
      <c r="E237" s="136" t="s">
        <v>135</v>
      </c>
      <c r="F237" s="136" t="s">
        <v>429</v>
      </c>
      <c r="G237" s="136" t="s">
        <v>38</v>
      </c>
      <c r="H237" s="152" t="s">
        <v>778</v>
      </c>
    </row>
    <row r="238" spans="1:8">
      <c r="A238" s="152" t="s">
        <v>779</v>
      </c>
      <c r="B238" s="152" t="s">
        <v>775</v>
      </c>
      <c r="C238" s="152" t="s">
        <v>776</v>
      </c>
      <c r="D238" s="161">
        <v>9993.44</v>
      </c>
      <c r="E238" s="136" t="s">
        <v>45</v>
      </c>
      <c r="F238" s="136" t="s">
        <v>542</v>
      </c>
      <c r="G238" s="136" t="s">
        <v>38</v>
      </c>
      <c r="H238" s="152" t="s">
        <v>777</v>
      </c>
    </row>
    <row r="239" spans="1:8">
      <c r="A239" s="152" t="s">
        <v>779</v>
      </c>
      <c r="B239" s="152" t="s">
        <v>775</v>
      </c>
      <c r="C239" s="152" t="s">
        <v>776</v>
      </c>
      <c r="D239" s="161">
        <v>9996.2099999999991</v>
      </c>
      <c r="E239" s="136" t="s">
        <v>476</v>
      </c>
      <c r="F239" s="136" t="s">
        <v>544</v>
      </c>
      <c r="G239" s="136" t="s">
        <v>161</v>
      </c>
      <c r="H239" s="152" t="s">
        <v>778</v>
      </c>
    </row>
    <row r="240" spans="1:8">
      <c r="A240" s="152" t="s">
        <v>779</v>
      </c>
      <c r="B240" s="152" t="s">
        <v>775</v>
      </c>
      <c r="C240" s="152" t="s">
        <v>773</v>
      </c>
      <c r="D240" s="161">
        <v>10010.06</v>
      </c>
      <c r="E240" s="136" t="s">
        <v>502</v>
      </c>
      <c r="F240" s="136" t="s">
        <v>546</v>
      </c>
      <c r="G240" s="136" t="s">
        <v>38</v>
      </c>
      <c r="H240" s="152" t="s">
        <v>780</v>
      </c>
    </row>
    <row r="241" spans="1:8">
      <c r="A241" s="152" t="s">
        <v>779</v>
      </c>
      <c r="B241" s="152" t="s">
        <v>772</v>
      </c>
      <c r="C241" s="152" t="s">
        <v>776</v>
      </c>
      <c r="D241" s="161">
        <v>10012.83</v>
      </c>
      <c r="E241" s="136" t="s">
        <v>45</v>
      </c>
      <c r="F241" s="136" t="s">
        <v>548</v>
      </c>
      <c r="G241" s="136" t="s">
        <v>38</v>
      </c>
      <c r="H241" s="152" t="s">
        <v>774</v>
      </c>
    </row>
    <row r="242" spans="1:8">
      <c r="A242" s="162" t="s">
        <v>786</v>
      </c>
      <c r="B242" s="152" t="s">
        <v>772</v>
      </c>
      <c r="C242" s="152" t="s">
        <v>773</v>
      </c>
      <c r="D242" s="161">
        <v>10015.6</v>
      </c>
      <c r="E242" s="136" t="s">
        <v>45</v>
      </c>
      <c r="F242" s="136" t="s">
        <v>550</v>
      </c>
      <c r="G242" s="136" t="s">
        <v>38</v>
      </c>
      <c r="H242" s="152" t="s">
        <v>774</v>
      </c>
    </row>
    <row r="243" spans="1:8">
      <c r="A243" s="162" t="s">
        <v>786</v>
      </c>
      <c r="B243" s="152" t="s">
        <v>772</v>
      </c>
      <c r="C243" s="152" t="s">
        <v>773</v>
      </c>
      <c r="D243" s="161">
        <v>10018.369999999999</v>
      </c>
      <c r="E243" s="136" t="s">
        <v>85</v>
      </c>
      <c r="F243" s="136" t="s">
        <v>552</v>
      </c>
      <c r="G243" s="136" t="s">
        <v>86</v>
      </c>
      <c r="H243" s="152" t="s">
        <v>778</v>
      </c>
    </row>
    <row r="244" spans="1:8">
      <c r="A244" s="162" t="s">
        <v>786</v>
      </c>
      <c r="B244" s="152" t="s">
        <v>775</v>
      </c>
      <c r="C244" s="152" t="s">
        <v>776</v>
      </c>
      <c r="D244" s="161">
        <v>10021.14</v>
      </c>
      <c r="E244" s="136" t="s">
        <v>205</v>
      </c>
      <c r="F244" s="136" t="s">
        <v>97</v>
      </c>
      <c r="G244" s="136" t="s">
        <v>38</v>
      </c>
      <c r="H244" s="152" t="s">
        <v>778</v>
      </c>
    </row>
    <row r="245" spans="1:8">
      <c r="A245" s="162" t="s">
        <v>779</v>
      </c>
      <c r="B245" s="152" t="s">
        <v>772</v>
      </c>
      <c r="C245" s="152" t="s">
        <v>773</v>
      </c>
      <c r="D245" s="161">
        <v>10023.91</v>
      </c>
      <c r="E245" s="136" t="s">
        <v>45</v>
      </c>
      <c r="F245" s="136" t="s">
        <v>555</v>
      </c>
      <c r="G245" s="136" t="s">
        <v>38</v>
      </c>
      <c r="H245" s="152" t="s">
        <v>778</v>
      </c>
    </row>
    <row r="246" spans="1:8">
      <c r="A246" s="162" t="s">
        <v>779</v>
      </c>
      <c r="B246" s="162" t="s">
        <v>775</v>
      </c>
      <c r="C246" s="162" t="s">
        <v>782</v>
      </c>
      <c r="D246" s="161">
        <v>10026.68</v>
      </c>
      <c r="E246" s="136" t="s">
        <v>106</v>
      </c>
      <c r="F246" s="136" t="s">
        <v>520</v>
      </c>
      <c r="G246" s="136" t="s">
        <v>77</v>
      </c>
      <c r="H246" s="162" t="s">
        <v>778</v>
      </c>
    </row>
    <row r="247" spans="1:8">
      <c r="A247" s="162" t="s">
        <v>787</v>
      </c>
      <c r="B247" s="162" t="s">
        <v>772</v>
      </c>
      <c r="C247" s="162" t="s">
        <v>783</v>
      </c>
      <c r="D247" s="161">
        <v>12149.35</v>
      </c>
      <c r="E247" s="136" t="s">
        <v>559</v>
      </c>
      <c r="F247" s="136" t="s">
        <v>558</v>
      </c>
      <c r="G247" s="136" t="s">
        <v>77</v>
      </c>
      <c r="H247" s="162" t="s">
        <v>778</v>
      </c>
    </row>
    <row r="248" spans="1:8">
      <c r="A248" s="162" t="s">
        <v>787</v>
      </c>
      <c r="B248" s="162" t="s">
        <v>775</v>
      </c>
      <c r="C248" s="162" t="s">
        <v>782</v>
      </c>
      <c r="D248" s="161">
        <v>12256.35</v>
      </c>
      <c r="E248" s="136" t="s">
        <v>104</v>
      </c>
      <c r="F248" s="136" t="s">
        <v>561</v>
      </c>
      <c r="G248" s="136" t="s">
        <v>38</v>
      </c>
      <c r="H248" s="162" t="s">
        <v>780</v>
      </c>
    </row>
    <row r="249" spans="1:8">
      <c r="A249" s="162" t="s">
        <v>787</v>
      </c>
      <c r="B249" s="162" t="s">
        <v>772</v>
      </c>
      <c r="C249" s="162" t="s">
        <v>776</v>
      </c>
      <c r="D249" s="161">
        <v>12363.35</v>
      </c>
      <c r="E249" s="136" t="s">
        <v>564</v>
      </c>
      <c r="F249" s="136" t="s">
        <v>563</v>
      </c>
      <c r="G249" s="136" t="s">
        <v>38</v>
      </c>
      <c r="H249" s="162" t="s">
        <v>780</v>
      </c>
    </row>
    <row r="250" spans="1:8">
      <c r="A250" s="162" t="s">
        <v>784</v>
      </c>
      <c r="B250" s="152" t="s">
        <v>775</v>
      </c>
      <c r="C250" s="152" t="s">
        <v>773</v>
      </c>
      <c r="D250" s="161">
        <v>12470.35</v>
      </c>
      <c r="E250" s="136" t="s">
        <v>476</v>
      </c>
      <c r="F250" s="136" t="s">
        <v>566</v>
      </c>
      <c r="G250" s="136" t="s">
        <v>161</v>
      </c>
      <c r="H250" s="152" t="s">
        <v>774</v>
      </c>
    </row>
    <row r="251" spans="1:8">
      <c r="A251" s="162" t="s">
        <v>784</v>
      </c>
      <c r="B251" s="152" t="s">
        <v>772</v>
      </c>
      <c r="C251" s="152" t="s">
        <v>776</v>
      </c>
      <c r="D251" s="161">
        <v>12577.35</v>
      </c>
      <c r="E251" s="136" t="s">
        <v>511</v>
      </c>
      <c r="F251" s="136" t="s">
        <v>568</v>
      </c>
      <c r="G251" s="136" t="s">
        <v>38</v>
      </c>
      <c r="H251" s="152" t="s">
        <v>777</v>
      </c>
    </row>
    <row r="252" spans="1:8">
      <c r="A252" s="162" t="s">
        <v>784</v>
      </c>
      <c r="B252" s="152" t="s">
        <v>772</v>
      </c>
      <c r="C252" s="152" t="s">
        <v>776</v>
      </c>
      <c r="D252" s="161">
        <v>12684.35</v>
      </c>
      <c r="E252" s="136" t="s">
        <v>45</v>
      </c>
      <c r="F252" s="136" t="s">
        <v>108</v>
      </c>
      <c r="G252" s="136" t="s">
        <v>38</v>
      </c>
      <c r="H252" s="152" t="s">
        <v>774</v>
      </c>
    </row>
    <row r="253" spans="1:8">
      <c r="A253" s="162" t="s">
        <v>784</v>
      </c>
      <c r="B253" s="152" t="s">
        <v>775</v>
      </c>
      <c r="C253" s="152" t="s">
        <v>776</v>
      </c>
      <c r="D253" s="161">
        <v>12791.35</v>
      </c>
      <c r="E253" s="136" t="s">
        <v>572</v>
      </c>
      <c r="F253" s="136" t="s">
        <v>571</v>
      </c>
      <c r="G253" s="136" t="s">
        <v>38</v>
      </c>
      <c r="H253" s="152" t="s">
        <v>778</v>
      </c>
    </row>
    <row r="254" spans="1:8">
      <c r="A254" s="162" t="s">
        <v>785</v>
      </c>
      <c r="B254" s="162" t="s">
        <v>772</v>
      </c>
      <c r="C254" s="162" t="s">
        <v>782</v>
      </c>
      <c r="D254" s="161">
        <v>9292.2000000000007</v>
      </c>
      <c r="E254" s="136" t="s">
        <v>104</v>
      </c>
      <c r="F254" s="136" t="s">
        <v>574</v>
      </c>
      <c r="G254" s="136" t="s">
        <v>38</v>
      </c>
      <c r="H254" s="152" t="s">
        <v>778</v>
      </c>
    </row>
    <row r="255" spans="1:8">
      <c r="A255" s="162" t="s">
        <v>785</v>
      </c>
      <c r="B255" s="162" t="s">
        <v>775</v>
      </c>
      <c r="C255" s="162" t="s">
        <v>782</v>
      </c>
      <c r="D255" s="161">
        <v>9369.5</v>
      </c>
      <c r="E255" s="136" t="s">
        <v>577</v>
      </c>
      <c r="F255" s="136" t="s">
        <v>576</v>
      </c>
      <c r="G255" s="136" t="s">
        <v>38</v>
      </c>
      <c r="H255" s="152" t="s">
        <v>777</v>
      </c>
    </row>
    <row r="256" spans="1:8">
      <c r="A256" s="162" t="s">
        <v>785</v>
      </c>
      <c r="B256" s="162" t="s">
        <v>772</v>
      </c>
      <c r="C256" s="162" t="s">
        <v>783</v>
      </c>
      <c r="D256" s="161">
        <v>9446.7999999999993</v>
      </c>
      <c r="E256" s="136" t="s">
        <v>580</v>
      </c>
      <c r="F256" s="136" t="s">
        <v>579</v>
      </c>
      <c r="G256" s="136" t="s">
        <v>38</v>
      </c>
      <c r="H256" s="152" t="s">
        <v>778</v>
      </c>
    </row>
    <row r="257" spans="1:8">
      <c r="A257" s="162" t="s">
        <v>785</v>
      </c>
      <c r="B257" s="162" t="s">
        <v>775</v>
      </c>
      <c r="C257" s="162" t="s">
        <v>782</v>
      </c>
      <c r="D257" s="161">
        <v>9524.1</v>
      </c>
      <c r="E257" s="136" t="s">
        <v>230</v>
      </c>
      <c r="F257" s="136" t="s">
        <v>229</v>
      </c>
      <c r="G257" s="136" t="s">
        <v>38</v>
      </c>
      <c r="H257" s="152" t="s">
        <v>777</v>
      </c>
    </row>
    <row r="258" spans="1:8">
      <c r="A258" s="162" t="s">
        <v>785</v>
      </c>
      <c r="B258" s="162" t="s">
        <v>772</v>
      </c>
      <c r="C258" s="162" t="s">
        <v>776</v>
      </c>
      <c r="D258" s="161">
        <v>9601.4</v>
      </c>
      <c r="E258" s="136" t="s">
        <v>56</v>
      </c>
      <c r="F258" s="136" t="s">
        <v>583</v>
      </c>
      <c r="G258" s="136" t="s">
        <v>57</v>
      </c>
      <c r="H258" s="152" t="s">
        <v>778</v>
      </c>
    </row>
    <row r="259" spans="1:8">
      <c r="A259" s="162" t="s">
        <v>785</v>
      </c>
      <c r="B259" s="162" t="s">
        <v>772</v>
      </c>
      <c r="C259" s="162" t="s">
        <v>783</v>
      </c>
      <c r="D259" s="161">
        <v>9678.7000000000007</v>
      </c>
      <c r="E259" s="136" t="s">
        <v>586</v>
      </c>
      <c r="F259" s="136" t="s">
        <v>585</v>
      </c>
      <c r="G259" s="136" t="s">
        <v>38</v>
      </c>
      <c r="H259" s="152" t="s">
        <v>780</v>
      </c>
    </row>
    <row r="260" spans="1:8">
      <c r="A260" s="162" t="s">
        <v>785</v>
      </c>
      <c r="B260" s="152" t="s">
        <v>772</v>
      </c>
      <c r="C260" s="152" t="s">
        <v>773</v>
      </c>
      <c r="D260" s="161">
        <v>9756</v>
      </c>
      <c r="E260" s="136" t="s">
        <v>166</v>
      </c>
      <c r="F260" s="136" t="s">
        <v>588</v>
      </c>
      <c r="G260" s="136" t="s">
        <v>38</v>
      </c>
      <c r="H260" s="152" t="s">
        <v>774</v>
      </c>
    </row>
    <row r="261" spans="1:8">
      <c r="A261" s="152" t="s">
        <v>771</v>
      </c>
      <c r="B261" s="152" t="s">
        <v>775</v>
      </c>
      <c r="C261" s="152" t="s">
        <v>776</v>
      </c>
      <c r="D261" s="161">
        <v>9833.2999999999993</v>
      </c>
      <c r="E261" s="136" t="s">
        <v>138</v>
      </c>
      <c r="F261" s="136" t="s">
        <v>137</v>
      </c>
      <c r="G261" s="136" t="s">
        <v>139</v>
      </c>
      <c r="H261" s="152" t="s">
        <v>780</v>
      </c>
    </row>
    <row r="262" spans="1:8">
      <c r="A262" s="152" t="s">
        <v>771</v>
      </c>
      <c r="B262" s="152" t="s">
        <v>772</v>
      </c>
      <c r="C262" s="152" t="s">
        <v>773</v>
      </c>
      <c r="D262" s="161">
        <v>9910.6</v>
      </c>
      <c r="E262" s="136" t="s">
        <v>144</v>
      </c>
      <c r="F262" s="136" t="s">
        <v>143</v>
      </c>
      <c r="G262" s="136" t="s">
        <v>57</v>
      </c>
      <c r="H262" s="162" t="s">
        <v>774</v>
      </c>
    </row>
    <row r="263" spans="1:8">
      <c r="A263" s="152" t="s">
        <v>779</v>
      </c>
      <c r="B263" s="152" t="s">
        <v>775</v>
      </c>
      <c r="C263" s="152" t="s">
        <v>776</v>
      </c>
      <c r="D263" s="161">
        <v>9987.9</v>
      </c>
      <c r="E263" s="136" t="s">
        <v>56</v>
      </c>
      <c r="F263" s="136" t="s">
        <v>144</v>
      </c>
      <c r="G263" s="136" t="s">
        <v>57</v>
      </c>
      <c r="H263" s="162" t="s">
        <v>778</v>
      </c>
    </row>
    <row r="264" spans="1:8">
      <c r="A264" s="152" t="s">
        <v>779</v>
      </c>
      <c r="B264" s="152" t="s">
        <v>775</v>
      </c>
      <c r="C264" s="152" t="s">
        <v>776</v>
      </c>
      <c r="D264" s="161">
        <v>9990.67</v>
      </c>
      <c r="E264" s="136" t="s">
        <v>76</v>
      </c>
      <c r="F264" s="136" t="s">
        <v>593</v>
      </c>
      <c r="G264" s="136" t="s">
        <v>77</v>
      </c>
      <c r="H264" s="162" t="s">
        <v>778</v>
      </c>
    </row>
    <row r="265" spans="1:8">
      <c r="A265" s="152" t="s">
        <v>779</v>
      </c>
      <c r="B265" s="152" t="s">
        <v>775</v>
      </c>
      <c r="C265" s="152" t="s">
        <v>773</v>
      </c>
      <c r="D265" s="161">
        <v>9993.44</v>
      </c>
      <c r="E265" s="136" t="s">
        <v>596</v>
      </c>
      <c r="F265" s="136" t="s">
        <v>595</v>
      </c>
      <c r="G265" s="136" t="s">
        <v>38</v>
      </c>
      <c r="H265" s="162" t="s">
        <v>780</v>
      </c>
    </row>
    <row r="266" spans="1:8">
      <c r="A266" s="152" t="s">
        <v>779</v>
      </c>
      <c r="B266" s="152" t="s">
        <v>772</v>
      </c>
      <c r="C266" s="152" t="s">
        <v>776</v>
      </c>
      <c r="D266" s="161">
        <v>9996.2099999999991</v>
      </c>
      <c r="E266" s="136" t="s">
        <v>45</v>
      </c>
      <c r="F266" s="136" t="s">
        <v>598</v>
      </c>
      <c r="G266" s="136" t="s">
        <v>38</v>
      </c>
      <c r="H266" s="162" t="s">
        <v>780</v>
      </c>
    </row>
    <row r="267" spans="1:8">
      <c r="A267" s="162" t="s">
        <v>786</v>
      </c>
      <c r="B267" s="152" t="s">
        <v>772</v>
      </c>
      <c r="C267" s="152" t="s">
        <v>773</v>
      </c>
      <c r="D267" s="161">
        <v>10010.06</v>
      </c>
      <c r="E267" s="136" t="s">
        <v>135</v>
      </c>
      <c r="F267" s="136" t="s">
        <v>429</v>
      </c>
      <c r="G267" s="136" t="s">
        <v>38</v>
      </c>
      <c r="H267" s="152" t="s">
        <v>774</v>
      </c>
    </row>
    <row r="268" spans="1:8">
      <c r="A268" s="162" t="s">
        <v>786</v>
      </c>
      <c r="B268" s="152" t="s">
        <v>772</v>
      </c>
      <c r="C268" s="152" t="s">
        <v>773</v>
      </c>
      <c r="D268" s="161">
        <v>12256.35</v>
      </c>
      <c r="E268" s="136" t="s">
        <v>306</v>
      </c>
      <c r="F268" s="136" t="s">
        <v>601</v>
      </c>
      <c r="G268" s="136" t="s">
        <v>252</v>
      </c>
      <c r="H268" s="152" t="s">
        <v>777</v>
      </c>
    </row>
    <row r="269" spans="1:8">
      <c r="A269" s="162" t="s">
        <v>786</v>
      </c>
      <c r="B269" s="152" t="s">
        <v>775</v>
      </c>
      <c r="C269" s="152" t="s">
        <v>776</v>
      </c>
      <c r="D269" s="161">
        <v>12363.35</v>
      </c>
      <c r="E269" s="136" t="s">
        <v>45</v>
      </c>
      <c r="F269" s="136" t="s">
        <v>118</v>
      </c>
      <c r="G269" s="136" t="s">
        <v>38</v>
      </c>
      <c r="H269" s="152" t="s">
        <v>774</v>
      </c>
    </row>
    <row r="270" spans="1:8">
      <c r="A270" s="162" t="s">
        <v>785</v>
      </c>
      <c r="B270" s="162" t="s">
        <v>772</v>
      </c>
      <c r="C270" s="162" t="s">
        <v>776</v>
      </c>
      <c r="D270" s="161">
        <v>12470.35</v>
      </c>
      <c r="E270" s="136" t="s">
        <v>160</v>
      </c>
      <c r="F270" s="136" t="s">
        <v>604</v>
      </c>
      <c r="G270" s="136" t="s">
        <v>161</v>
      </c>
      <c r="H270" s="152" t="s">
        <v>778</v>
      </c>
    </row>
    <row r="271" spans="1:8">
      <c r="A271" s="162" t="s">
        <v>785</v>
      </c>
      <c r="B271" s="162" t="s">
        <v>772</v>
      </c>
      <c r="C271" s="162" t="s">
        <v>783</v>
      </c>
      <c r="D271" s="161">
        <v>12577.35</v>
      </c>
      <c r="E271" s="136" t="s">
        <v>607</v>
      </c>
      <c r="F271" s="136" t="s">
        <v>606</v>
      </c>
      <c r="G271" s="136" t="s">
        <v>38</v>
      </c>
      <c r="H271" s="152" t="s">
        <v>778</v>
      </c>
    </row>
    <row r="272" spans="1:8">
      <c r="A272" s="162" t="s">
        <v>785</v>
      </c>
      <c r="B272" s="152" t="s">
        <v>772</v>
      </c>
      <c r="C272" s="152" t="s">
        <v>773</v>
      </c>
      <c r="D272" s="161">
        <v>12684.35</v>
      </c>
      <c r="E272" s="136" t="s">
        <v>232</v>
      </c>
      <c r="F272" s="136" t="s">
        <v>609</v>
      </c>
      <c r="G272" s="136" t="s">
        <v>38</v>
      </c>
      <c r="H272" s="152" t="s">
        <v>778</v>
      </c>
    </row>
    <row r="273" spans="1:8">
      <c r="A273" s="152" t="s">
        <v>771</v>
      </c>
      <c r="B273" s="152" t="s">
        <v>775</v>
      </c>
      <c r="C273" s="152" t="s">
        <v>776</v>
      </c>
      <c r="D273" s="161">
        <v>12791.35</v>
      </c>
      <c r="E273" s="136" t="s">
        <v>611</v>
      </c>
      <c r="F273" s="136" t="s">
        <v>141</v>
      </c>
      <c r="G273" s="136" t="s">
        <v>86</v>
      </c>
      <c r="H273" s="152" t="s">
        <v>778</v>
      </c>
    </row>
    <row r="274" spans="1:8">
      <c r="A274" s="152" t="s">
        <v>771</v>
      </c>
      <c r="B274" s="152" t="s">
        <v>772</v>
      </c>
      <c r="C274" s="152" t="s">
        <v>773</v>
      </c>
      <c r="D274" s="161">
        <v>9292.2000000000007</v>
      </c>
      <c r="E274" s="136" t="s">
        <v>476</v>
      </c>
      <c r="F274" s="136" t="s">
        <v>613</v>
      </c>
      <c r="G274" s="136" t="s">
        <v>161</v>
      </c>
      <c r="H274" s="152" t="s">
        <v>777</v>
      </c>
    </row>
    <row r="275" spans="1:8">
      <c r="A275" s="162" t="s">
        <v>786</v>
      </c>
      <c r="B275" s="152" t="s">
        <v>772</v>
      </c>
      <c r="C275" s="152" t="s">
        <v>773</v>
      </c>
      <c r="D275" s="161">
        <v>9369.5</v>
      </c>
      <c r="E275" s="136" t="s">
        <v>616</v>
      </c>
      <c r="F275" s="136" t="s">
        <v>615</v>
      </c>
      <c r="G275" s="136" t="s">
        <v>337</v>
      </c>
      <c r="H275" s="152" t="s">
        <v>774</v>
      </c>
    </row>
    <row r="276" spans="1:8">
      <c r="A276" s="162" t="s">
        <v>786</v>
      </c>
      <c r="B276" s="152" t="s">
        <v>775</v>
      </c>
      <c r="C276" s="152" t="s">
        <v>776</v>
      </c>
      <c r="D276" s="161">
        <v>9446.7999999999993</v>
      </c>
      <c r="E276" s="136" t="s">
        <v>45</v>
      </c>
      <c r="F276" s="136" t="s">
        <v>437</v>
      </c>
      <c r="G276" s="136" t="s">
        <v>38</v>
      </c>
      <c r="H276" s="152" t="s">
        <v>778</v>
      </c>
    </row>
    <row r="277" spans="1:8">
      <c r="A277" s="162" t="s">
        <v>785</v>
      </c>
      <c r="B277" s="162" t="s">
        <v>772</v>
      </c>
      <c r="C277" s="162" t="s">
        <v>776</v>
      </c>
      <c r="D277" s="161">
        <v>9524.1</v>
      </c>
      <c r="E277" s="136" t="s">
        <v>45</v>
      </c>
      <c r="F277" s="136" t="s">
        <v>619</v>
      </c>
      <c r="G277" s="136" t="s">
        <v>38</v>
      </c>
      <c r="H277" s="152" t="s">
        <v>778</v>
      </c>
    </row>
    <row r="278" spans="1:8">
      <c r="A278" s="162" t="s">
        <v>785</v>
      </c>
      <c r="B278" s="162" t="s">
        <v>772</v>
      </c>
      <c r="C278" s="162" t="s">
        <v>783</v>
      </c>
      <c r="D278" s="161">
        <v>9601.4</v>
      </c>
      <c r="E278" s="136" t="s">
        <v>45</v>
      </c>
      <c r="F278" s="136" t="s">
        <v>79</v>
      </c>
      <c r="G278" s="136" t="s">
        <v>38</v>
      </c>
      <c r="H278" s="152" t="s">
        <v>777</v>
      </c>
    </row>
    <row r="279" spans="1:8">
      <c r="A279" s="162" t="s">
        <v>786</v>
      </c>
      <c r="B279" s="152" t="s">
        <v>772</v>
      </c>
      <c r="C279" s="152" t="s">
        <v>773</v>
      </c>
      <c r="D279" s="161">
        <v>9678.7000000000007</v>
      </c>
      <c r="E279" s="136" t="s">
        <v>45</v>
      </c>
      <c r="F279" s="136" t="s">
        <v>622</v>
      </c>
      <c r="G279" s="136" t="s">
        <v>38</v>
      </c>
      <c r="H279" s="152" t="s">
        <v>778</v>
      </c>
    </row>
    <row r="280" spans="1:8">
      <c r="A280" s="162" t="s">
        <v>786</v>
      </c>
      <c r="B280" s="152" t="s">
        <v>775</v>
      </c>
      <c r="C280" s="152" t="s">
        <v>776</v>
      </c>
      <c r="D280" s="161">
        <v>9756</v>
      </c>
      <c r="E280" s="136" t="s">
        <v>45</v>
      </c>
      <c r="F280" s="136" t="s">
        <v>97</v>
      </c>
      <c r="G280" s="136" t="s">
        <v>38</v>
      </c>
      <c r="H280" s="152" t="s">
        <v>777</v>
      </c>
    </row>
    <row r="281" spans="1:8">
      <c r="A281" s="162" t="s">
        <v>785</v>
      </c>
      <c r="B281" s="162" t="s">
        <v>772</v>
      </c>
      <c r="C281" s="162" t="s">
        <v>776</v>
      </c>
      <c r="D281" s="161">
        <v>9833.2999999999993</v>
      </c>
      <c r="E281" s="136" t="s">
        <v>45</v>
      </c>
      <c r="F281" s="136" t="s">
        <v>625</v>
      </c>
      <c r="G281" s="136" t="s">
        <v>38</v>
      </c>
      <c r="H281" s="152" t="s">
        <v>778</v>
      </c>
    </row>
    <row r="282" spans="1:8">
      <c r="A282" s="162" t="s">
        <v>785</v>
      </c>
      <c r="B282" s="162" t="s">
        <v>772</v>
      </c>
      <c r="C282" s="162" t="s">
        <v>783</v>
      </c>
      <c r="D282" s="161">
        <v>9910.6</v>
      </c>
      <c r="E282" s="136" t="s">
        <v>45</v>
      </c>
      <c r="F282" s="136" t="s">
        <v>627</v>
      </c>
      <c r="G282" s="136" t="s">
        <v>38</v>
      </c>
      <c r="H282" s="152" t="s">
        <v>780</v>
      </c>
    </row>
    <row r="283" spans="1:8">
      <c r="A283" s="162" t="s">
        <v>785</v>
      </c>
      <c r="B283" s="162" t="s">
        <v>775</v>
      </c>
      <c r="C283" s="162" t="s">
        <v>782</v>
      </c>
      <c r="D283" s="161">
        <v>10023.91</v>
      </c>
      <c r="E283" s="136" t="s">
        <v>45</v>
      </c>
      <c r="F283" s="136" t="s">
        <v>629</v>
      </c>
      <c r="G283" s="136" t="s">
        <v>38</v>
      </c>
      <c r="H283" s="152" t="s">
        <v>774</v>
      </c>
    </row>
    <row r="284" spans="1:8">
      <c r="A284" s="162" t="s">
        <v>785</v>
      </c>
      <c r="B284" s="162" t="s">
        <v>772</v>
      </c>
      <c r="C284" s="162" t="s">
        <v>776</v>
      </c>
      <c r="D284" s="161">
        <v>10026.68</v>
      </c>
      <c r="E284" s="136" t="s">
        <v>45</v>
      </c>
      <c r="F284" s="136" t="s">
        <v>542</v>
      </c>
      <c r="G284" s="136" t="s">
        <v>38</v>
      </c>
      <c r="H284" s="152" t="s">
        <v>780</v>
      </c>
    </row>
    <row r="285" spans="1:8">
      <c r="A285" s="162" t="s">
        <v>785</v>
      </c>
      <c r="B285" s="162" t="s">
        <v>772</v>
      </c>
      <c r="C285" s="162" t="s">
        <v>783</v>
      </c>
      <c r="D285" s="161">
        <v>12149.35</v>
      </c>
      <c r="E285" s="136" t="s">
        <v>460</v>
      </c>
      <c r="F285" s="136" t="s">
        <v>632</v>
      </c>
      <c r="G285" s="136" t="s">
        <v>38</v>
      </c>
      <c r="H285" s="162" t="s">
        <v>774</v>
      </c>
    </row>
    <row r="286" spans="1:8">
      <c r="A286" s="162" t="s">
        <v>785</v>
      </c>
      <c r="B286" s="152" t="s">
        <v>772</v>
      </c>
      <c r="C286" s="152" t="s">
        <v>773</v>
      </c>
      <c r="D286" s="161">
        <v>12256.35</v>
      </c>
      <c r="E286" s="136" t="s">
        <v>45</v>
      </c>
      <c r="F286" s="136" t="s">
        <v>625</v>
      </c>
      <c r="G286" s="136" t="s">
        <v>38</v>
      </c>
      <c r="H286" s="162" t="s">
        <v>778</v>
      </c>
    </row>
    <row r="287" spans="1:8">
      <c r="A287" s="152" t="s">
        <v>771</v>
      </c>
      <c r="B287" s="152" t="s">
        <v>775</v>
      </c>
      <c r="C287" s="152" t="s">
        <v>776</v>
      </c>
      <c r="D287" s="161">
        <v>12363.35</v>
      </c>
      <c r="E287" s="136" t="s">
        <v>564</v>
      </c>
      <c r="F287" s="136" t="s">
        <v>635</v>
      </c>
      <c r="G287" s="136" t="s">
        <v>38</v>
      </c>
      <c r="H287" s="162" t="s">
        <v>778</v>
      </c>
    </row>
    <row r="288" spans="1:8">
      <c r="A288" s="152" t="s">
        <v>771</v>
      </c>
      <c r="B288" s="152" t="s">
        <v>772</v>
      </c>
      <c r="C288" s="152" t="s">
        <v>773</v>
      </c>
      <c r="D288" s="161">
        <v>12470.35</v>
      </c>
      <c r="E288" s="136" t="s">
        <v>45</v>
      </c>
      <c r="F288" s="136" t="s">
        <v>637</v>
      </c>
      <c r="G288" s="136" t="s">
        <v>38</v>
      </c>
      <c r="H288" s="162" t="s">
        <v>780</v>
      </c>
    </row>
    <row r="289" spans="1:8">
      <c r="A289" s="152" t="s">
        <v>779</v>
      </c>
      <c r="B289" s="152" t="s">
        <v>775</v>
      </c>
      <c r="C289" s="152" t="s">
        <v>776</v>
      </c>
      <c r="D289" s="161">
        <v>12577.35</v>
      </c>
      <c r="E289" s="136" t="s">
        <v>48</v>
      </c>
      <c r="F289" s="136" t="s">
        <v>47</v>
      </c>
      <c r="G289" s="136" t="s">
        <v>49</v>
      </c>
      <c r="H289" s="162" t="s">
        <v>780</v>
      </c>
    </row>
    <row r="290" spans="1:8">
      <c r="A290" s="162" t="s">
        <v>787</v>
      </c>
      <c r="B290" s="162" t="s">
        <v>772</v>
      </c>
      <c r="C290" s="162" t="s">
        <v>776</v>
      </c>
      <c r="D290" s="161">
        <v>9910.6</v>
      </c>
      <c r="E290" s="136" t="s">
        <v>251</v>
      </c>
      <c r="F290" s="136" t="s">
        <v>300</v>
      </c>
      <c r="G290" s="136" t="s">
        <v>252</v>
      </c>
      <c r="H290" s="152" t="s">
        <v>777</v>
      </c>
    </row>
    <row r="291" spans="1:8">
      <c r="A291" s="162" t="s">
        <v>787</v>
      </c>
      <c r="B291" s="162" t="s">
        <v>772</v>
      </c>
      <c r="C291" s="162" t="s">
        <v>783</v>
      </c>
      <c r="D291" s="161">
        <v>9987.9</v>
      </c>
      <c r="E291" s="136" t="s">
        <v>76</v>
      </c>
      <c r="F291" s="136" t="s">
        <v>141</v>
      </c>
      <c r="G291" s="136" t="s">
        <v>70</v>
      </c>
      <c r="H291" s="162" t="s">
        <v>780</v>
      </c>
    </row>
    <row r="292" spans="1:8">
      <c r="A292" s="162" t="s">
        <v>779</v>
      </c>
      <c r="B292" s="162" t="s">
        <v>775</v>
      </c>
      <c r="C292" s="162" t="s">
        <v>782</v>
      </c>
      <c r="D292" s="161">
        <v>9990.67</v>
      </c>
      <c r="E292" s="136" t="s">
        <v>56</v>
      </c>
      <c r="F292" s="136" t="s">
        <v>642</v>
      </c>
      <c r="G292" s="136" t="s">
        <v>57</v>
      </c>
      <c r="H292" s="152" t="s">
        <v>778</v>
      </c>
    </row>
    <row r="293" spans="1:8">
      <c r="A293" s="162" t="s">
        <v>779</v>
      </c>
      <c r="B293" s="162" t="s">
        <v>772</v>
      </c>
      <c r="C293" s="162" t="s">
        <v>776</v>
      </c>
      <c r="D293" s="161">
        <v>9993.44</v>
      </c>
      <c r="E293" s="136" t="s">
        <v>45</v>
      </c>
      <c r="F293" s="136" t="s">
        <v>644</v>
      </c>
      <c r="G293" s="136" t="s">
        <v>38</v>
      </c>
      <c r="H293" s="152" t="s">
        <v>777</v>
      </c>
    </row>
    <row r="294" spans="1:8">
      <c r="A294" s="162" t="s">
        <v>786</v>
      </c>
      <c r="B294" s="152" t="s">
        <v>772</v>
      </c>
      <c r="C294" s="152" t="s">
        <v>773</v>
      </c>
      <c r="D294" s="161">
        <v>9996.2099999999991</v>
      </c>
      <c r="E294" s="136" t="s">
        <v>62</v>
      </c>
      <c r="F294" s="136" t="s">
        <v>281</v>
      </c>
      <c r="G294" s="136" t="s">
        <v>63</v>
      </c>
      <c r="H294" s="152" t="s">
        <v>778</v>
      </c>
    </row>
    <row r="295" spans="1:8">
      <c r="A295" s="162" t="s">
        <v>786</v>
      </c>
      <c r="B295" s="152" t="s">
        <v>772</v>
      </c>
      <c r="C295" s="152" t="s">
        <v>773</v>
      </c>
      <c r="D295" s="161">
        <v>10010.06</v>
      </c>
      <c r="E295" s="136" t="s">
        <v>648</v>
      </c>
      <c r="F295" s="136" t="s">
        <v>647</v>
      </c>
      <c r="G295" s="136" t="s">
        <v>57</v>
      </c>
      <c r="H295" s="152" t="s">
        <v>777</v>
      </c>
    </row>
    <row r="296" spans="1:8">
      <c r="A296" s="162" t="s">
        <v>786</v>
      </c>
      <c r="B296" s="152" t="s">
        <v>775</v>
      </c>
      <c r="C296" s="152" t="s">
        <v>776</v>
      </c>
      <c r="D296" s="161">
        <v>10012.83</v>
      </c>
      <c r="E296" s="136" t="s">
        <v>76</v>
      </c>
      <c r="F296" s="136" t="s">
        <v>141</v>
      </c>
      <c r="G296" s="136" t="s">
        <v>77</v>
      </c>
      <c r="H296" s="152" t="s">
        <v>778</v>
      </c>
    </row>
    <row r="297" spans="1:8">
      <c r="A297" s="162" t="s">
        <v>779</v>
      </c>
      <c r="B297" s="152" t="s">
        <v>772</v>
      </c>
      <c r="C297" s="152" t="s">
        <v>773</v>
      </c>
      <c r="D297" s="161">
        <v>9910.6</v>
      </c>
      <c r="E297" s="136" t="s">
        <v>251</v>
      </c>
      <c r="F297" s="136" t="s">
        <v>250</v>
      </c>
      <c r="G297" s="136" t="s">
        <v>252</v>
      </c>
      <c r="H297" s="152" t="s">
        <v>780</v>
      </c>
    </row>
    <row r="298" spans="1:8">
      <c r="A298" s="162" t="s">
        <v>784</v>
      </c>
      <c r="B298" s="152" t="s">
        <v>775</v>
      </c>
      <c r="C298" s="152" t="s">
        <v>773</v>
      </c>
      <c r="D298" s="161">
        <v>10023.91</v>
      </c>
      <c r="E298" s="136" t="s">
        <v>251</v>
      </c>
      <c r="F298" s="136" t="s">
        <v>652</v>
      </c>
      <c r="G298" s="136" t="s">
        <v>252</v>
      </c>
      <c r="H298" s="152" t="s">
        <v>774</v>
      </c>
    </row>
    <row r="299" spans="1:8">
      <c r="A299" s="162" t="s">
        <v>784</v>
      </c>
      <c r="B299" s="152" t="s">
        <v>772</v>
      </c>
      <c r="C299" s="152" t="s">
        <v>776</v>
      </c>
      <c r="D299" s="161">
        <v>10026.68</v>
      </c>
      <c r="E299" s="136" t="s">
        <v>251</v>
      </c>
      <c r="F299" s="136" t="s">
        <v>457</v>
      </c>
      <c r="G299" s="136" t="s">
        <v>252</v>
      </c>
      <c r="H299" s="152" t="s">
        <v>777</v>
      </c>
    </row>
    <row r="300" spans="1:8">
      <c r="A300" s="162" t="s">
        <v>784</v>
      </c>
      <c r="B300" s="152" t="s">
        <v>772</v>
      </c>
      <c r="C300" s="152" t="s">
        <v>776</v>
      </c>
      <c r="D300" s="161">
        <v>12149.35</v>
      </c>
      <c r="E300" s="136" t="s">
        <v>56</v>
      </c>
      <c r="F300" s="136" t="s">
        <v>655</v>
      </c>
      <c r="G300" s="136" t="s">
        <v>57</v>
      </c>
      <c r="H300" s="152" t="s">
        <v>778</v>
      </c>
    </row>
    <row r="301" spans="1:8">
      <c r="A301" s="162" t="s">
        <v>784</v>
      </c>
      <c r="B301" s="152" t="s">
        <v>775</v>
      </c>
      <c r="C301" s="152" t="s">
        <v>776</v>
      </c>
      <c r="D301" s="161">
        <v>12256.35</v>
      </c>
      <c r="E301" s="136" t="s">
        <v>657</v>
      </c>
      <c r="F301" s="136" t="s">
        <v>132</v>
      </c>
      <c r="G301" s="136" t="s">
        <v>63</v>
      </c>
      <c r="H301" s="152" t="s">
        <v>777</v>
      </c>
    </row>
    <row r="302" spans="1:8">
      <c r="A302" s="162" t="s">
        <v>785</v>
      </c>
      <c r="B302" s="162" t="s">
        <v>772</v>
      </c>
      <c r="C302" s="162" t="s">
        <v>782</v>
      </c>
      <c r="D302" s="161">
        <v>12363.35</v>
      </c>
      <c r="E302" s="136" t="s">
        <v>291</v>
      </c>
      <c r="F302" s="136" t="s">
        <v>425</v>
      </c>
      <c r="G302" s="136" t="s">
        <v>53</v>
      </c>
      <c r="H302" s="152" t="s">
        <v>778</v>
      </c>
    </row>
    <row r="303" spans="1:8">
      <c r="A303" s="162" t="s">
        <v>785</v>
      </c>
      <c r="B303" s="162" t="s">
        <v>775</v>
      </c>
      <c r="C303" s="162" t="s">
        <v>782</v>
      </c>
      <c r="D303" s="161">
        <v>12470.35</v>
      </c>
      <c r="E303" s="136" t="s">
        <v>661</v>
      </c>
      <c r="F303" s="136" t="s">
        <v>660</v>
      </c>
      <c r="G303" s="136" t="s">
        <v>77</v>
      </c>
      <c r="H303" s="152" t="s">
        <v>780</v>
      </c>
    </row>
    <row r="304" spans="1:8">
      <c r="A304" s="162" t="s">
        <v>785</v>
      </c>
      <c r="B304" s="162" t="s">
        <v>772</v>
      </c>
      <c r="C304" s="162" t="s">
        <v>783</v>
      </c>
      <c r="D304" s="161">
        <v>12577.35</v>
      </c>
      <c r="E304" s="136" t="s">
        <v>89</v>
      </c>
      <c r="F304" s="136" t="s">
        <v>152</v>
      </c>
      <c r="G304" s="136" t="s">
        <v>86</v>
      </c>
      <c r="H304" s="152" t="s">
        <v>774</v>
      </c>
    </row>
    <row r="305" spans="1:8">
      <c r="A305" s="162" t="s">
        <v>785</v>
      </c>
      <c r="B305" s="162" t="s">
        <v>775</v>
      </c>
      <c r="C305" s="162" t="s">
        <v>782</v>
      </c>
      <c r="D305" s="161">
        <v>9910.6</v>
      </c>
      <c r="E305" s="136" t="s">
        <v>665</v>
      </c>
      <c r="F305" s="136" t="s">
        <v>664</v>
      </c>
      <c r="G305" s="136" t="s">
        <v>63</v>
      </c>
      <c r="H305" s="152" t="s">
        <v>780</v>
      </c>
    </row>
    <row r="306" spans="1:8">
      <c r="A306" s="162" t="s">
        <v>785</v>
      </c>
      <c r="B306" s="162" t="s">
        <v>772</v>
      </c>
      <c r="C306" s="162" t="s">
        <v>776</v>
      </c>
      <c r="D306" s="161">
        <v>9987.9</v>
      </c>
      <c r="E306" s="136" t="s">
        <v>56</v>
      </c>
      <c r="F306" s="136" t="s">
        <v>667</v>
      </c>
      <c r="G306" s="136" t="s">
        <v>57</v>
      </c>
      <c r="H306" s="162" t="s">
        <v>774</v>
      </c>
    </row>
    <row r="307" spans="1:8">
      <c r="A307" s="162" t="s">
        <v>785</v>
      </c>
      <c r="B307" s="162" t="s">
        <v>772</v>
      </c>
      <c r="C307" s="162" t="s">
        <v>783</v>
      </c>
      <c r="D307" s="161">
        <v>9990.67</v>
      </c>
      <c r="E307" s="136" t="s">
        <v>56</v>
      </c>
      <c r="F307" s="136" t="s">
        <v>669</v>
      </c>
      <c r="G307" s="136" t="s">
        <v>57</v>
      </c>
      <c r="H307" s="162" t="s">
        <v>778</v>
      </c>
    </row>
    <row r="308" spans="1:8">
      <c r="A308" s="162" t="s">
        <v>785</v>
      </c>
      <c r="B308" s="152" t="s">
        <v>772</v>
      </c>
      <c r="C308" s="152" t="s">
        <v>773</v>
      </c>
      <c r="D308" s="161">
        <v>9993.44</v>
      </c>
      <c r="E308" s="136" t="s">
        <v>56</v>
      </c>
      <c r="F308" s="136" t="s">
        <v>439</v>
      </c>
      <c r="G308" s="136" t="s">
        <v>57</v>
      </c>
      <c r="H308" s="162" t="s">
        <v>778</v>
      </c>
    </row>
    <row r="309" spans="1:8">
      <c r="A309" s="152" t="s">
        <v>771</v>
      </c>
      <c r="B309" s="152" t="s">
        <v>775</v>
      </c>
      <c r="C309" s="152" t="s">
        <v>776</v>
      </c>
      <c r="D309" s="161">
        <v>9996.2099999999991</v>
      </c>
      <c r="E309" s="136" t="s">
        <v>56</v>
      </c>
      <c r="F309" s="136" t="s">
        <v>471</v>
      </c>
      <c r="G309" s="136" t="s">
        <v>57</v>
      </c>
      <c r="H309" s="152" t="s">
        <v>778</v>
      </c>
    </row>
    <row r="310" spans="1:8">
      <c r="A310" s="152" t="s">
        <v>771</v>
      </c>
      <c r="B310" s="152" t="s">
        <v>772</v>
      </c>
      <c r="C310" s="152" t="s">
        <v>773</v>
      </c>
      <c r="D310" s="161">
        <v>10010.06</v>
      </c>
      <c r="E310" s="136" t="s">
        <v>56</v>
      </c>
      <c r="F310" s="136" t="s">
        <v>647</v>
      </c>
      <c r="G310" s="136" t="s">
        <v>86</v>
      </c>
      <c r="H310" s="152" t="s">
        <v>777</v>
      </c>
    </row>
    <row r="311" spans="1:8">
      <c r="A311" s="152" t="s">
        <v>779</v>
      </c>
      <c r="B311" s="152" t="s">
        <v>775</v>
      </c>
      <c r="C311" s="152" t="s">
        <v>776</v>
      </c>
      <c r="D311" s="161">
        <v>10012.83</v>
      </c>
      <c r="E311" s="136" t="s">
        <v>56</v>
      </c>
      <c r="F311" s="136" t="s">
        <v>674</v>
      </c>
      <c r="G311" s="136" t="s">
        <v>57</v>
      </c>
      <c r="H311" s="152" t="s">
        <v>778</v>
      </c>
    </row>
    <row r="312" spans="1:8">
      <c r="A312" s="152" t="s">
        <v>779</v>
      </c>
      <c r="B312" s="152" t="s">
        <v>775</v>
      </c>
      <c r="C312" s="152" t="s">
        <v>776</v>
      </c>
      <c r="D312" s="161">
        <v>9910.6</v>
      </c>
      <c r="E312" s="136" t="s">
        <v>123</v>
      </c>
      <c r="F312" s="136" t="s">
        <v>676</v>
      </c>
      <c r="G312" s="136" t="s">
        <v>57</v>
      </c>
      <c r="H312" s="152" t="s">
        <v>777</v>
      </c>
    </row>
    <row r="313" spans="1:8">
      <c r="A313" s="152" t="s">
        <v>779</v>
      </c>
      <c r="B313" s="152" t="s">
        <v>775</v>
      </c>
      <c r="C313" s="152" t="s">
        <v>773</v>
      </c>
      <c r="D313" s="161">
        <v>5786.6</v>
      </c>
      <c r="E313" s="136" t="s">
        <v>56</v>
      </c>
      <c r="F313" s="136" t="s">
        <v>678</v>
      </c>
      <c r="G313" s="136" t="s">
        <v>57</v>
      </c>
      <c r="H313" s="152" t="s">
        <v>778</v>
      </c>
    </row>
    <row r="314" spans="1:8">
      <c r="A314" s="152" t="s">
        <v>779</v>
      </c>
      <c r="B314" s="152" t="s">
        <v>772</v>
      </c>
      <c r="C314" s="152" t="s">
        <v>776</v>
      </c>
      <c r="D314" s="161">
        <v>5889.8</v>
      </c>
      <c r="E314" s="136" t="s">
        <v>56</v>
      </c>
      <c r="F314" s="136" t="s">
        <v>680</v>
      </c>
      <c r="G314" s="136" t="s">
        <v>57</v>
      </c>
      <c r="H314" s="152" t="s">
        <v>780</v>
      </c>
    </row>
    <row r="315" spans="1:8">
      <c r="A315" s="162" t="s">
        <v>786</v>
      </c>
      <c r="B315" s="152" t="s">
        <v>772</v>
      </c>
      <c r="C315" s="152" t="s">
        <v>773</v>
      </c>
      <c r="D315" s="161">
        <v>5993</v>
      </c>
      <c r="E315" s="136" t="s">
        <v>138</v>
      </c>
      <c r="F315" s="136" t="s">
        <v>408</v>
      </c>
      <c r="G315" s="136" t="s">
        <v>139</v>
      </c>
      <c r="H315" s="152" t="s">
        <v>774</v>
      </c>
    </row>
    <row r="316" spans="1:8">
      <c r="A316" s="162" t="s">
        <v>786</v>
      </c>
      <c r="B316" s="152" t="s">
        <v>772</v>
      </c>
      <c r="C316" s="152" t="s">
        <v>773</v>
      </c>
      <c r="D316" s="161">
        <v>6096.2</v>
      </c>
      <c r="E316" s="136" t="s">
        <v>62</v>
      </c>
      <c r="F316" s="136" t="s">
        <v>281</v>
      </c>
      <c r="G316" s="136" t="s">
        <v>63</v>
      </c>
      <c r="H316" s="152" t="s">
        <v>780</v>
      </c>
    </row>
    <row r="317" spans="1:8">
      <c r="A317" s="162" t="s">
        <v>786</v>
      </c>
      <c r="B317" s="152" t="s">
        <v>775</v>
      </c>
      <c r="C317" s="152" t="s">
        <v>776</v>
      </c>
      <c r="D317" s="161">
        <v>6199.4</v>
      </c>
      <c r="E317" s="136" t="s">
        <v>537</v>
      </c>
      <c r="F317" s="136" t="s">
        <v>110</v>
      </c>
      <c r="G317" s="136" t="s">
        <v>57</v>
      </c>
      <c r="H317" s="162" t="s">
        <v>774</v>
      </c>
    </row>
    <row r="318" spans="1:8">
      <c r="A318" s="152" t="s">
        <v>779</v>
      </c>
      <c r="B318" s="152" t="s">
        <v>775</v>
      </c>
      <c r="C318" s="152" t="s">
        <v>776</v>
      </c>
      <c r="D318" s="161">
        <v>6302.6</v>
      </c>
      <c r="E318" s="136" t="s">
        <v>76</v>
      </c>
      <c r="F318" s="136" t="s">
        <v>141</v>
      </c>
      <c r="G318" s="136" t="s">
        <v>42</v>
      </c>
      <c r="H318" s="162" t="s">
        <v>778</v>
      </c>
    </row>
    <row r="319" spans="1:8">
      <c r="A319" s="152" t="s">
        <v>779</v>
      </c>
      <c r="B319" s="152" t="s">
        <v>775</v>
      </c>
      <c r="C319" s="152" t="s">
        <v>773</v>
      </c>
      <c r="D319" s="161">
        <v>6405.8</v>
      </c>
      <c r="E319" s="136" t="s">
        <v>251</v>
      </c>
      <c r="F319" s="136" t="s">
        <v>457</v>
      </c>
      <c r="G319" s="136" t="s">
        <v>252</v>
      </c>
      <c r="H319" s="162" t="s">
        <v>778</v>
      </c>
    </row>
    <row r="320" spans="1:8">
      <c r="A320" s="152" t="s">
        <v>779</v>
      </c>
      <c r="B320" s="152" t="s">
        <v>772</v>
      </c>
      <c r="C320" s="152" t="s">
        <v>776</v>
      </c>
      <c r="D320" s="161">
        <v>6509</v>
      </c>
      <c r="E320" s="136" t="s">
        <v>476</v>
      </c>
      <c r="F320" s="136" t="s">
        <v>687</v>
      </c>
      <c r="G320" s="136" t="s">
        <v>161</v>
      </c>
      <c r="H320" s="162" t="s">
        <v>780</v>
      </c>
    </row>
    <row r="321" spans="1:8">
      <c r="A321" s="162" t="s">
        <v>786</v>
      </c>
      <c r="B321" s="152" t="s">
        <v>772</v>
      </c>
      <c r="C321" s="152" t="s">
        <v>773</v>
      </c>
      <c r="D321" s="161">
        <v>6612.2</v>
      </c>
      <c r="E321" s="136" t="s">
        <v>56</v>
      </c>
      <c r="F321" s="136" t="s">
        <v>689</v>
      </c>
      <c r="G321" s="136" t="s">
        <v>57</v>
      </c>
      <c r="H321" s="162" t="s">
        <v>780</v>
      </c>
    </row>
    <row r="322" spans="1:8">
      <c r="A322" s="162" t="s">
        <v>786</v>
      </c>
      <c r="B322" s="152" t="s">
        <v>772</v>
      </c>
      <c r="C322" s="152" t="s">
        <v>773</v>
      </c>
      <c r="D322" s="161">
        <v>6715.4</v>
      </c>
      <c r="E322" s="136" t="s">
        <v>205</v>
      </c>
      <c r="F322" s="136" t="s">
        <v>97</v>
      </c>
      <c r="G322" s="136" t="s">
        <v>38</v>
      </c>
      <c r="H322" s="162" t="s">
        <v>778</v>
      </c>
    </row>
    <row r="323" spans="1:8">
      <c r="A323" s="152" t="s">
        <v>771</v>
      </c>
      <c r="B323" s="152" t="s">
        <v>772</v>
      </c>
      <c r="C323" s="152" t="s">
        <v>773</v>
      </c>
      <c r="D323" s="161">
        <v>6818.6</v>
      </c>
      <c r="E323" s="136" t="s">
        <v>76</v>
      </c>
      <c r="F323" s="136" t="s">
        <v>141</v>
      </c>
      <c r="G323" s="136" t="s">
        <v>38</v>
      </c>
      <c r="H323" s="162" t="s">
        <v>780</v>
      </c>
    </row>
    <row r="324" spans="1:8">
      <c r="A324" s="152" t="s">
        <v>779</v>
      </c>
      <c r="B324" s="152" t="s">
        <v>775</v>
      </c>
      <c r="C324" s="152" t="s">
        <v>776</v>
      </c>
      <c r="D324" s="161">
        <v>6895.9000000000005</v>
      </c>
      <c r="E324" s="136" t="s">
        <v>243</v>
      </c>
      <c r="F324" s="136" t="s">
        <v>242</v>
      </c>
      <c r="G324" s="136" t="s">
        <v>240</v>
      </c>
      <c r="H324" s="162" t="s">
        <v>780</v>
      </c>
    </row>
    <row r="325" spans="1:8">
      <c r="A325" s="152" t="s">
        <v>779</v>
      </c>
      <c r="B325" s="152" t="s">
        <v>775</v>
      </c>
      <c r="C325" s="152" t="s">
        <v>776</v>
      </c>
      <c r="D325" s="161">
        <v>6973.2000000000007</v>
      </c>
      <c r="E325" s="136" t="s">
        <v>205</v>
      </c>
      <c r="F325" s="136" t="s">
        <v>694</v>
      </c>
      <c r="G325" s="136" t="s">
        <v>38</v>
      </c>
      <c r="H325" s="152" t="s">
        <v>774</v>
      </c>
    </row>
    <row r="326" spans="1:8">
      <c r="A326" s="152" t="s">
        <v>779</v>
      </c>
      <c r="B326" s="152" t="s">
        <v>775</v>
      </c>
      <c r="C326" s="152" t="s">
        <v>773</v>
      </c>
      <c r="D326" s="161">
        <v>7050.5</v>
      </c>
      <c r="E326" s="136" t="s">
        <v>56</v>
      </c>
      <c r="F326" s="136" t="s">
        <v>696</v>
      </c>
      <c r="G326" s="136" t="s">
        <v>57</v>
      </c>
      <c r="H326" s="152" t="s">
        <v>777</v>
      </c>
    </row>
    <row r="327" spans="1:8">
      <c r="A327" s="152" t="s">
        <v>779</v>
      </c>
      <c r="B327" s="152" t="s">
        <v>772</v>
      </c>
      <c r="C327" s="152" t="s">
        <v>776</v>
      </c>
      <c r="D327" s="161">
        <v>7127.8</v>
      </c>
      <c r="E327" s="136" t="s">
        <v>56</v>
      </c>
      <c r="F327" s="136" t="s">
        <v>647</v>
      </c>
      <c r="G327" s="136" t="s">
        <v>57</v>
      </c>
      <c r="H327" s="152" t="s">
        <v>774</v>
      </c>
    </row>
    <row r="328" spans="1:8">
      <c r="A328" s="162" t="s">
        <v>786</v>
      </c>
      <c r="B328" s="152" t="s">
        <v>772</v>
      </c>
      <c r="C328" s="152" t="s">
        <v>773</v>
      </c>
      <c r="D328" s="161">
        <v>7205.1</v>
      </c>
      <c r="E328" s="136" t="s">
        <v>56</v>
      </c>
      <c r="F328" s="136" t="s">
        <v>699</v>
      </c>
      <c r="G328" s="136" t="s">
        <v>57</v>
      </c>
      <c r="H328" s="152" t="s">
        <v>778</v>
      </c>
    </row>
    <row r="329" spans="1:8">
      <c r="A329" s="162" t="s">
        <v>786</v>
      </c>
      <c r="B329" s="152" t="s">
        <v>772</v>
      </c>
      <c r="C329" s="152" t="s">
        <v>773</v>
      </c>
      <c r="D329" s="161">
        <v>7282.4000000000005</v>
      </c>
      <c r="E329" s="136" t="s">
        <v>702</v>
      </c>
      <c r="F329" s="136" t="s">
        <v>701</v>
      </c>
      <c r="G329" s="136" t="s">
        <v>703</v>
      </c>
      <c r="H329" s="152" t="s">
        <v>778</v>
      </c>
    </row>
    <row r="330" spans="1:8">
      <c r="A330" s="162" t="s">
        <v>786</v>
      </c>
      <c r="B330" s="152" t="s">
        <v>775</v>
      </c>
      <c r="C330" s="152" t="s">
        <v>776</v>
      </c>
      <c r="D330" s="161">
        <v>10010.06</v>
      </c>
      <c r="E330" s="136" t="s">
        <v>135</v>
      </c>
      <c r="F330" s="136" t="s">
        <v>705</v>
      </c>
      <c r="G330" s="136" t="s">
        <v>38</v>
      </c>
      <c r="H330" s="152" t="s">
        <v>778</v>
      </c>
    </row>
    <row r="331" spans="1:8">
      <c r="A331" s="162" t="s">
        <v>779</v>
      </c>
      <c r="B331" s="152" t="s">
        <v>772</v>
      </c>
      <c r="C331" s="152" t="s">
        <v>773</v>
      </c>
      <c r="D331" s="161">
        <v>10012.83</v>
      </c>
      <c r="E331" s="136" t="s">
        <v>56</v>
      </c>
      <c r="F331" s="136" t="s">
        <v>647</v>
      </c>
      <c r="G331" s="136" t="s">
        <v>57</v>
      </c>
      <c r="H331" s="162" t="s">
        <v>778</v>
      </c>
    </row>
    <row r="332" spans="1:8">
      <c r="A332" s="152" t="s">
        <v>771</v>
      </c>
      <c r="B332" s="152" t="s">
        <v>772</v>
      </c>
      <c r="C332" s="152" t="s">
        <v>773</v>
      </c>
      <c r="D332" s="161">
        <v>9910.6</v>
      </c>
      <c r="E332" s="136" t="s">
        <v>56</v>
      </c>
      <c r="F332" s="136" t="s">
        <v>699</v>
      </c>
      <c r="G332" s="136" t="s">
        <v>57</v>
      </c>
      <c r="H332" s="162" t="s">
        <v>778</v>
      </c>
    </row>
    <row r="333" spans="1:8">
      <c r="A333" s="152" t="s">
        <v>779</v>
      </c>
      <c r="B333" s="152" t="s">
        <v>775</v>
      </c>
      <c r="C333" s="152" t="s">
        <v>776</v>
      </c>
      <c r="D333" s="161">
        <v>5786.6</v>
      </c>
      <c r="E333" s="136" t="s">
        <v>586</v>
      </c>
      <c r="F333" s="136" t="s">
        <v>709</v>
      </c>
      <c r="G333" s="136" t="s">
        <v>38</v>
      </c>
      <c r="H333" s="162" t="s">
        <v>780</v>
      </c>
    </row>
    <row r="334" spans="1:8">
      <c r="A334" s="152" t="s">
        <v>779</v>
      </c>
      <c r="B334" s="152" t="s">
        <v>775</v>
      </c>
      <c r="C334" s="152" t="s">
        <v>776</v>
      </c>
      <c r="D334" s="161">
        <v>5889.8</v>
      </c>
      <c r="E334" s="136" t="s">
        <v>219</v>
      </c>
      <c r="F334" s="136" t="s">
        <v>711</v>
      </c>
      <c r="G334" s="136" t="s">
        <v>38</v>
      </c>
      <c r="H334" s="152" t="s">
        <v>774</v>
      </c>
    </row>
    <row r="335" spans="1:8">
      <c r="A335" s="152" t="s">
        <v>779</v>
      </c>
      <c r="B335" s="152" t="s">
        <v>775</v>
      </c>
      <c r="C335" s="152" t="s">
        <v>773</v>
      </c>
      <c r="D335" s="161">
        <v>5993</v>
      </c>
      <c r="E335" s="136" t="s">
        <v>219</v>
      </c>
      <c r="F335" s="136" t="s">
        <v>441</v>
      </c>
      <c r="G335" s="136" t="s">
        <v>38</v>
      </c>
      <c r="H335" s="152" t="s">
        <v>777</v>
      </c>
    </row>
    <row r="336" spans="1:8">
      <c r="A336" s="152" t="s">
        <v>779</v>
      </c>
      <c r="B336" s="152" t="s">
        <v>772</v>
      </c>
      <c r="C336" s="152" t="s">
        <v>776</v>
      </c>
      <c r="D336" s="161">
        <v>6096.2</v>
      </c>
      <c r="E336" s="136" t="s">
        <v>45</v>
      </c>
      <c r="F336" s="136" t="s">
        <v>542</v>
      </c>
      <c r="G336" s="136" t="s">
        <v>38</v>
      </c>
      <c r="H336" s="152" t="s">
        <v>774</v>
      </c>
    </row>
    <row r="337" spans="1:8">
      <c r="A337" s="162" t="s">
        <v>786</v>
      </c>
      <c r="B337" s="152" t="s">
        <v>772</v>
      </c>
      <c r="C337" s="152" t="s">
        <v>773</v>
      </c>
      <c r="D337" s="161">
        <v>6199.4</v>
      </c>
      <c r="E337" s="136" t="s">
        <v>73</v>
      </c>
      <c r="F337" s="136" t="s">
        <v>445</v>
      </c>
      <c r="G337" s="136" t="s">
        <v>38</v>
      </c>
      <c r="H337" s="152" t="s">
        <v>778</v>
      </c>
    </row>
    <row r="338" spans="1:8">
      <c r="A338" s="162" t="s">
        <v>786</v>
      </c>
      <c r="B338" s="152" t="s">
        <v>772</v>
      </c>
      <c r="C338" s="152" t="s">
        <v>773</v>
      </c>
      <c r="D338" s="161">
        <v>6302.6</v>
      </c>
      <c r="E338" s="136" t="s">
        <v>564</v>
      </c>
      <c r="F338" s="136" t="s">
        <v>563</v>
      </c>
      <c r="G338" s="136" t="s">
        <v>38</v>
      </c>
      <c r="H338" s="152" t="s">
        <v>778</v>
      </c>
    </row>
    <row r="339" spans="1:8">
      <c r="A339" s="162" t="s">
        <v>786</v>
      </c>
      <c r="B339" s="152" t="s">
        <v>775</v>
      </c>
      <c r="C339" s="152" t="s">
        <v>776</v>
      </c>
      <c r="D339" s="161">
        <v>7050.5</v>
      </c>
      <c r="E339" s="136" t="s">
        <v>45</v>
      </c>
      <c r="F339" s="136" t="s">
        <v>508</v>
      </c>
      <c r="G339" s="136" t="s">
        <v>38</v>
      </c>
      <c r="H339" s="152" t="s">
        <v>777</v>
      </c>
    </row>
    <row r="340" spans="1:8">
      <c r="A340" s="162" t="s">
        <v>779</v>
      </c>
      <c r="B340" s="152" t="s">
        <v>772</v>
      </c>
      <c r="C340" s="152" t="s">
        <v>773</v>
      </c>
      <c r="D340" s="161">
        <v>7127.8</v>
      </c>
      <c r="E340" s="136" t="s">
        <v>511</v>
      </c>
      <c r="F340" s="136" t="s">
        <v>718</v>
      </c>
      <c r="G340" s="136" t="s">
        <v>38</v>
      </c>
      <c r="H340" s="152" t="s">
        <v>778</v>
      </c>
    </row>
    <row r="341" spans="1:8">
      <c r="A341" s="162" t="s">
        <v>779</v>
      </c>
      <c r="B341" s="162" t="s">
        <v>775</v>
      </c>
      <c r="C341" s="162" t="s">
        <v>782</v>
      </c>
      <c r="D341" s="161">
        <v>7205.1</v>
      </c>
      <c r="E341" s="136" t="s">
        <v>227</v>
      </c>
      <c r="F341" s="136" t="s">
        <v>576</v>
      </c>
      <c r="G341" s="136" t="s">
        <v>38</v>
      </c>
      <c r="H341" s="152" t="s">
        <v>777</v>
      </c>
    </row>
    <row r="342" spans="1:8">
      <c r="A342" s="162" t="s">
        <v>787</v>
      </c>
      <c r="B342" s="162" t="s">
        <v>772</v>
      </c>
      <c r="C342" s="162" t="s">
        <v>783</v>
      </c>
      <c r="D342" s="161">
        <v>7282.4000000000005</v>
      </c>
      <c r="E342" s="136" t="s">
        <v>511</v>
      </c>
      <c r="F342" s="136" t="s">
        <v>568</v>
      </c>
      <c r="G342" s="136" t="s">
        <v>38</v>
      </c>
      <c r="H342" s="152" t="s">
        <v>778</v>
      </c>
    </row>
    <row r="343" spans="1:8">
      <c r="A343" s="162" t="s">
        <v>787</v>
      </c>
      <c r="B343" s="162" t="s">
        <v>775</v>
      </c>
      <c r="C343" s="162" t="s">
        <v>782</v>
      </c>
      <c r="D343" s="161">
        <v>10010.06</v>
      </c>
      <c r="E343" s="136" t="s">
        <v>141</v>
      </c>
      <c r="F343" s="136" t="s">
        <v>110</v>
      </c>
      <c r="G343" s="136" t="s">
        <v>161</v>
      </c>
      <c r="H343" s="152" t="s">
        <v>780</v>
      </c>
    </row>
    <row r="344" spans="1:8">
      <c r="A344" s="162" t="s">
        <v>787</v>
      </c>
      <c r="B344" s="162" t="s">
        <v>772</v>
      </c>
      <c r="C344" s="162" t="s">
        <v>776</v>
      </c>
      <c r="D344" s="161">
        <v>10012.83</v>
      </c>
      <c r="E344" s="136" t="s">
        <v>572</v>
      </c>
      <c r="F344" s="136" t="s">
        <v>723</v>
      </c>
      <c r="G344" s="136" t="s">
        <v>38</v>
      </c>
      <c r="H344" s="152" t="s">
        <v>774</v>
      </c>
    </row>
    <row r="345" spans="1:8">
      <c r="A345" s="162" t="s">
        <v>784</v>
      </c>
      <c r="B345" s="152" t="s">
        <v>775</v>
      </c>
      <c r="C345" s="152" t="s">
        <v>773</v>
      </c>
      <c r="D345" s="161">
        <v>9910.6</v>
      </c>
      <c r="E345" s="136" t="s">
        <v>580</v>
      </c>
      <c r="F345" s="136" t="s">
        <v>579</v>
      </c>
      <c r="G345" s="136" t="s">
        <v>38</v>
      </c>
      <c r="H345" s="152" t="s">
        <v>780</v>
      </c>
    </row>
    <row r="346" spans="1:8">
      <c r="A346" s="162" t="s">
        <v>784</v>
      </c>
      <c r="B346" s="152" t="s">
        <v>772</v>
      </c>
      <c r="C346" s="152" t="s">
        <v>776</v>
      </c>
      <c r="D346" s="161">
        <v>5786.6</v>
      </c>
      <c r="E346" s="136" t="s">
        <v>45</v>
      </c>
      <c r="F346" s="136" t="s">
        <v>726</v>
      </c>
      <c r="G346" s="136" t="s">
        <v>38</v>
      </c>
      <c r="H346" s="162" t="s">
        <v>774</v>
      </c>
    </row>
    <row r="347" spans="1:8">
      <c r="A347" s="162" t="s">
        <v>784</v>
      </c>
      <c r="B347" s="152" t="s">
        <v>772</v>
      </c>
      <c r="C347" s="152" t="s">
        <v>776</v>
      </c>
      <c r="D347" s="161">
        <v>5889.8</v>
      </c>
      <c r="E347" s="136" t="s">
        <v>45</v>
      </c>
      <c r="F347" s="136" t="s">
        <v>728</v>
      </c>
      <c r="G347" s="136" t="s">
        <v>38</v>
      </c>
      <c r="H347" s="162" t="s">
        <v>778</v>
      </c>
    </row>
    <row r="348" spans="1:8">
      <c r="A348" s="162" t="s">
        <v>784</v>
      </c>
      <c r="B348" s="152" t="s">
        <v>775</v>
      </c>
      <c r="C348" s="152" t="s">
        <v>776</v>
      </c>
      <c r="D348" s="161">
        <v>5993</v>
      </c>
      <c r="E348" s="136" t="s">
        <v>45</v>
      </c>
      <c r="F348" s="136" t="s">
        <v>448</v>
      </c>
      <c r="G348" s="136" t="s">
        <v>38</v>
      </c>
      <c r="H348" s="162" t="s">
        <v>778</v>
      </c>
    </row>
    <row r="349" spans="1:8">
      <c r="A349" s="162" t="s">
        <v>785</v>
      </c>
      <c r="B349" s="162" t="s">
        <v>772</v>
      </c>
      <c r="C349" s="162" t="s">
        <v>782</v>
      </c>
      <c r="D349" s="161">
        <v>10010.06</v>
      </c>
      <c r="E349" s="136" t="s">
        <v>45</v>
      </c>
      <c r="F349" s="136" t="s">
        <v>548</v>
      </c>
      <c r="G349" s="136" t="s">
        <v>38</v>
      </c>
      <c r="H349" s="162" t="s">
        <v>780</v>
      </c>
    </row>
    <row r="350" spans="1:8">
      <c r="A350" s="162" t="s">
        <v>785</v>
      </c>
      <c r="B350" s="162" t="s">
        <v>775</v>
      </c>
      <c r="C350" s="162" t="s">
        <v>782</v>
      </c>
      <c r="D350" s="161">
        <v>10012.83</v>
      </c>
      <c r="E350" s="136" t="s">
        <v>45</v>
      </c>
      <c r="F350" s="136" t="s">
        <v>732</v>
      </c>
      <c r="G350" s="136" t="s">
        <v>38</v>
      </c>
      <c r="H350" s="162" t="s">
        <v>780</v>
      </c>
    </row>
    <row r="351" spans="1:8">
      <c r="A351" s="162" t="s">
        <v>785</v>
      </c>
      <c r="B351" s="162" t="s">
        <v>772</v>
      </c>
      <c r="C351" s="162" t="s">
        <v>783</v>
      </c>
      <c r="D351" s="161">
        <v>10010.06</v>
      </c>
      <c r="E351" s="136" t="s">
        <v>45</v>
      </c>
      <c r="F351" s="136" t="s">
        <v>734</v>
      </c>
      <c r="G351" s="136" t="s">
        <v>38</v>
      </c>
      <c r="H351" s="152" t="s">
        <v>774</v>
      </c>
    </row>
    <row r="352" spans="1:8">
      <c r="A352" s="162" t="s">
        <v>785</v>
      </c>
      <c r="B352" s="162" t="s">
        <v>775</v>
      </c>
      <c r="C352" s="162" t="s">
        <v>782</v>
      </c>
      <c r="D352" s="161">
        <v>10012.83</v>
      </c>
      <c r="E352" s="136" t="s">
        <v>45</v>
      </c>
      <c r="F352" s="136" t="s">
        <v>132</v>
      </c>
      <c r="G352" s="136" t="s">
        <v>38</v>
      </c>
      <c r="H352" s="152" t="s">
        <v>777</v>
      </c>
    </row>
    <row r="353" spans="1:8">
      <c r="A353" s="162" t="s">
        <v>785</v>
      </c>
      <c r="B353" s="162" t="s">
        <v>772</v>
      </c>
      <c r="C353" s="162" t="s">
        <v>776</v>
      </c>
      <c r="D353" s="161">
        <v>9910.6</v>
      </c>
      <c r="E353" s="136" t="s">
        <v>45</v>
      </c>
      <c r="F353" s="136" t="s">
        <v>737</v>
      </c>
      <c r="G353" s="136" t="s">
        <v>38</v>
      </c>
      <c r="H353" s="152" t="s">
        <v>774</v>
      </c>
    </row>
    <row r="354" spans="1:8">
      <c r="A354" s="162" t="s">
        <v>785</v>
      </c>
      <c r="B354" s="162" t="s">
        <v>772</v>
      </c>
      <c r="C354" s="162" t="s">
        <v>783</v>
      </c>
      <c r="D354" s="161">
        <v>5786.6</v>
      </c>
      <c r="E354" s="136" t="s">
        <v>45</v>
      </c>
      <c r="F354" s="136" t="s">
        <v>555</v>
      </c>
      <c r="G354" s="136" t="s">
        <v>38</v>
      </c>
      <c r="H354" s="152" t="s">
        <v>778</v>
      </c>
    </row>
    <row r="355" spans="1:8">
      <c r="A355" s="162" t="s">
        <v>784</v>
      </c>
      <c r="B355" s="152" t="s">
        <v>772</v>
      </c>
      <c r="C355" s="152" t="s">
        <v>773</v>
      </c>
      <c r="D355" s="161">
        <v>5889.8</v>
      </c>
      <c r="E355" s="136" t="s">
        <v>45</v>
      </c>
      <c r="F355" s="136" t="s">
        <v>740</v>
      </c>
      <c r="G355" s="136" t="s">
        <v>38</v>
      </c>
      <c r="H355" s="152" t="s">
        <v>778</v>
      </c>
    </row>
    <row r="356" spans="1:8">
      <c r="A356" s="162" t="s">
        <v>784</v>
      </c>
      <c r="B356" s="152" t="s">
        <v>775</v>
      </c>
      <c r="C356" s="152" t="s">
        <v>776</v>
      </c>
      <c r="D356" s="161">
        <v>5993</v>
      </c>
      <c r="E356" s="136" t="s">
        <v>45</v>
      </c>
      <c r="F356" s="136" t="s">
        <v>742</v>
      </c>
      <c r="G356" s="136" t="s">
        <v>38</v>
      </c>
      <c r="H356" s="152" t="s">
        <v>778</v>
      </c>
    </row>
    <row r="357" spans="1:8">
      <c r="A357" s="162" t="s">
        <v>784</v>
      </c>
      <c r="B357" s="152" t="s">
        <v>772</v>
      </c>
      <c r="C357" s="152" t="s">
        <v>773</v>
      </c>
      <c r="D357" s="161">
        <v>9910.6</v>
      </c>
      <c r="E357" s="136" t="s">
        <v>45</v>
      </c>
      <c r="F357" s="136" t="s">
        <v>744</v>
      </c>
      <c r="G357" s="136" t="s">
        <v>38</v>
      </c>
      <c r="H357" s="152" t="s">
        <v>778</v>
      </c>
    </row>
    <row r="358" spans="1:8">
      <c r="A358" s="162" t="s">
        <v>784</v>
      </c>
      <c r="B358" s="152" t="s">
        <v>775</v>
      </c>
      <c r="C358" s="152" t="s">
        <v>776</v>
      </c>
      <c r="D358" s="161">
        <v>5786.6</v>
      </c>
      <c r="E358" s="136" t="s">
        <v>45</v>
      </c>
      <c r="F358" s="136" t="s">
        <v>598</v>
      </c>
      <c r="G358" s="136" t="s">
        <v>38</v>
      </c>
      <c r="H358" s="152" t="s">
        <v>777</v>
      </c>
    </row>
    <row r="359" spans="1:8">
      <c r="A359" s="162" t="s">
        <v>785</v>
      </c>
      <c r="B359" s="152" t="s">
        <v>775</v>
      </c>
      <c r="C359" s="152" t="s">
        <v>776</v>
      </c>
      <c r="D359" s="161">
        <v>5889.8</v>
      </c>
      <c r="E359" s="136" t="s">
        <v>45</v>
      </c>
      <c r="F359" s="136" t="s">
        <v>747</v>
      </c>
      <c r="G359" s="136" t="s">
        <v>38</v>
      </c>
      <c r="H359" s="152" t="s">
        <v>774</v>
      </c>
    </row>
    <row r="360" spans="1:8">
      <c r="A360" s="162" t="s">
        <v>785</v>
      </c>
      <c r="B360" s="152" t="s">
        <v>775</v>
      </c>
      <c r="C360" s="152" t="s">
        <v>773</v>
      </c>
      <c r="D360" s="161">
        <v>5993</v>
      </c>
      <c r="E360" s="136" t="s">
        <v>45</v>
      </c>
      <c r="F360" s="136" t="s">
        <v>747</v>
      </c>
      <c r="G360" s="136" t="s">
        <v>38</v>
      </c>
      <c r="H360" s="152" t="s">
        <v>778</v>
      </c>
    </row>
    <row r="361" spans="1:8">
      <c r="A361" s="162" t="s">
        <v>785</v>
      </c>
      <c r="B361" s="152" t="s">
        <v>772</v>
      </c>
      <c r="C361" s="152" t="s">
        <v>776</v>
      </c>
      <c r="D361" s="161">
        <v>6096.2</v>
      </c>
      <c r="E361" s="136" t="s">
        <v>104</v>
      </c>
      <c r="F361" s="136" t="s">
        <v>750</v>
      </c>
      <c r="G361" s="136" t="s">
        <v>38</v>
      </c>
      <c r="H361" s="152" t="s">
        <v>778</v>
      </c>
    </row>
    <row r="362" spans="1:8">
      <c r="A362" s="162" t="s">
        <v>785</v>
      </c>
      <c r="B362" s="152" t="s">
        <v>772</v>
      </c>
      <c r="C362" s="152" t="s">
        <v>773</v>
      </c>
      <c r="D362" s="161">
        <v>6199.4</v>
      </c>
      <c r="E362" s="136" t="s">
        <v>104</v>
      </c>
      <c r="F362" s="136" t="s">
        <v>752</v>
      </c>
      <c r="G362" s="136" t="s">
        <v>38</v>
      </c>
      <c r="H362" s="152" t="s">
        <v>777</v>
      </c>
    </row>
    <row r="363" spans="1:8">
      <c r="A363" s="162" t="s">
        <v>785</v>
      </c>
      <c r="B363" s="152" t="s">
        <v>772</v>
      </c>
      <c r="C363" s="152" t="s">
        <v>773</v>
      </c>
      <c r="D363" s="161">
        <v>6302.6</v>
      </c>
      <c r="E363" s="136" t="s">
        <v>754</v>
      </c>
      <c r="F363" s="136" t="s">
        <v>110</v>
      </c>
      <c r="G363" s="136" t="s">
        <v>38</v>
      </c>
      <c r="H363" s="152" t="s">
        <v>778</v>
      </c>
    </row>
    <row r="364" spans="1:8">
      <c r="A364" s="162" t="s">
        <v>785</v>
      </c>
      <c r="B364" s="152" t="s">
        <v>775</v>
      </c>
      <c r="C364" s="152" t="s">
        <v>776</v>
      </c>
      <c r="D364" s="161">
        <v>9833.2999999999993</v>
      </c>
      <c r="E364" s="136" t="s">
        <v>232</v>
      </c>
      <c r="F364" s="136" t="s">
        <v>756</v>
      </c>
      <c r="G364" s="136" t="s">
        <v>38</v>
      </c>
      <c r="H364" s="152" t="s">
        <v>777</v>
      </c>
    </row>
    <row r="365" spans="1:8">
      <c r="A365" s="162" t="s">
        <v>785</v>
      </c>
      <c r="B365" s="152" t="s">
        <v>775</v>
      </c>
      <c r="C365" s="152" t="s">
        <v>776</v>
      </c>
      <c r="D365" s="161">
        <v>9910.6</v>
      </c>
      <c r="E365" s="136" t="s">
        <v>166</v>
      </c>
      <c r="F365" s="136" t="s">
        <v>588</v>
      </c>
      <c r="G365" s="136" t="s">
        <v>38</v>
      </c>
      <c r="H365" s="152" t="s">
        <v>778</v>
      </c>
    </row>
    <row r="366" spans="1:8">
      <c r="A366" s="162" t="s">
        <v>785</v>
      </c>
      <c r="B366" s="152" t="s">
        <v>775</v>
      </c>
      <c r="C366" s="152" t="s">
        <v>773</v>
      </c>
      <c r="D366" s="161">
        <v>9987.9</v>
      </c>
      <c r="E366" s="136" t="s">
        <v>45</v>
      </c>
      <c r="F366" s="136" t="s">
        <v>759</v>
      </c>
      <c r="G366" s="136" t="s">
        <v>38</v>
      </c>
      <c r="H366" s="152" t="s">
        <v>780</v>
      </c>
    </row>
    <row r="367" spans="1:8">
      <c r="A367" s="152" t="s">
        <v>771</v>
      </c>
      <c r="B367" s="152" t="s">
        <v>772</v>
      </c>
      <c r="C367" s="152" t="s">
        <v>776</v>
      </c>
      <c r="D367" s="161">
        <v>9990.67</v>
      </c>
      <c r="E367" s="136" t="s">
        <v>762</v>
      </c>
      <c r="F367" s="136" t="s">
        <v>761</v>
      </c>
      <c r="G367" s="136" t="s">
        <v>86</v>
      </c>
      <c r="H367" s="152" t="s">
        <v>774</v>
      </c>
    </row>
    <row r="368" spans="1:8">
      <c r="A368" s="152" t="s">
        <v>771</v>
      </c>
      <c r="B368" s="152" t="s">
        <v>772</v>
      </c>
      <c r="C368" s="152" t="s">
        <v>773</v>
      </c>
      <c r="D368" s="161">
        <v>9993.44</v>
      </c>
      <c r="E368" s="136" t="s">
        <v>611</v>
      </c>
      <c r="F368" s="136" t="s">
        <v>141</v>
      </c>
      <c r="G368" s="136" t="s">
        <v>86</v>
      </c>
      <c r="H368" s="152" t="s">
        <v>780</v>
      </c>
    </row>
    <row r="369" spans="1:8">
      <c r="A369" s="152" t="s">
        <v>779</v>
      </c>
      <c r="B369" s="152" t="s">
        <v>772</v>
      </c>
      <c r="C369" s="152" t="s">
        <v>773</v>
      </c>
      <c r="D369" s="161">
        <v>9996.2099999999991</v>
      </c>
      <c r="E369" s="136" t="s">
        <v>611</v>
      </c>
      <c r="F369" s="136" t="s">
        <v>141</v>
      </c>
      <c r="G369" s="136" t="s">
        <v>86</v>
      </c>
      <c r="H369" s="162" t="s">
        <v>774</v>
      </c>
    </row>
    <row r="370" spans="1:8">
      <c r="A370" s="152" t="s">
        <v>779</v>
      </c>
      <c r="B370" s="162" t="s">
        <v>772</v>
      </c>
      <c r="C370" s="152" t="s">
        <v>773</v>
      </c>
      <c r="D370" s="161">
        <v>7050.5</v>
      </c>
      <c r="E370" s="136" t="s">
        <v>62</v>
      </c>
      <c r="F370" s="136" t="s">
        <v>281</v>
      </c>
      <c r="G370" s="136" t="s">
        <v>63</v>
      </c>
      <c r="H370" s="152" t="s">
        <v>777</v>
      </c>
    </row>
    <row r="371" spans="1:8">
      <c r="A371" s="152" t="s">
        <v>779</v>
      </c>
      <c r="B371" s="162" t="s">
        <v>775</v>
      </c>
      <c r="C371" s="152" t="s">
        <v>776</v>
      </c>
      <c r="D371" s="161">
        <v>7127.8</v>
      </c>
      <c r="E371" s="136" t="s">
        <v>537</v>
      </c>
      <c r="F371" s="136" t="s">
        <v>110</v>
      </c>
      <c r="G371" s="136" t="s">
        <v>57</v>
      </c>
      <c r="H371" s="152" t="s">
        <v>774</v>
      </c>
    </row>
    <row r="372" spans="1:8">
      <c r="A372" s="152" t="s">
        <v>779</v>
      </c>
      <c r="B372" s="162" t="s">
        <v>772</v>
      </c>
      <c r="C372" s="152" t="s">
        <v>773</v>
      </c>
      <c r="D372" s="161">
        <v>7205.1</v>
      </c>
      <c r="E372" s="136" t="s">
        <v>76</v>
      </c>
      <c r="F372" s="136" t="s">
        <v>141</v>
      </c>
      <c r="G372" s="136" t="s">
        <v>42</v>
      </c>
      <c r="H372" s="152" t="s">
        <v>778</v>
      </c>
    </row>
    <row r="373" spans="1:8">
      <c r="A373" s="162" t="s">
        <v>786</v>
      </c>
      <c r="B373" s="162" t="s">
        <v>772</v>
      </c>
      <c r="C373" s="162" t="s">
        <v>782</v>
      </c>
      <c r="D373" s="161">
        <v>7282.4000000000005</v>
      </c>
      <c r="E373" s="136" t="s">
        <v>251</v>
      </c>
      <c r="F373" s="136" t="s">
        <v>457</v>
      </c>
      <c r="G373" s="136" t="s">
        <v>252</v>
      </c>
      <c r="H373" s="152" t="s">
        <v>778</v>
      </c>
    </row>
    <row r="374" spans="1:8">
      <c r="A374" s="162" t="s">
        <v>786</v>
      </c>
      <c r="B374" s="152" t="s">
        <v>772</v>
      </c>
      <c r="C374" s="162" t="s">
        <v>783</v>
      </c>
      <c r="D374" s="161">
        <v>10010.06</v>
      </c>
      <c r="E374" s="136" t="s">
        <v>476</v>
      </c>
      <c r="F374" s="136" t="s">
        <v>687</v>
      </c>
      <c r="G374" s="136" t="s">
        <v>161</v>
      </c>
      <c r="H374" s="152" t="s">
        <v>777</v>
      </c>
    </row>
    <row r="375" spans="1:8">
      <c r="A375" s="162" t="s">
        <v>786</v>
      </c>
      <c r="B375" s="152" t="s">
        <v>775</v>
      </c>
      <c r="C375" s="162" t="s">
        <v>782</v>
      </c>
      <c r="D375" s="161">
        <v>10012.83</v>
      </c>
      <c r="E375" s="136" t="s">
        <v>56</v>
      </c>
      <c r="F375" s="136" t="s">
        <v>689</v>
      </c>
      <c r="G375" s="136" t="s">
        <v>57</v>
      </c>
      <c r="H375" s="152" t="s">
        <v>778</v>
      </c>
    </row>
    <row r="376" spans="1:8">
      <c r="A376" s="152" t="s">
        <v>771</v>
      </c>
      <c r="B376" s="152" t="s">
        <v>772</v>
      </c>
      <c r="C376" s="162" t="s">
        <v>776</v>
      </c>
      <c r="D376" s="161">
        <v>9910.6</v>
      </c>
      <c r="E376" s="136" t="s">
        <v>205</v>
      </c>
      <c r="F376" s="136" t="s">
        <v>97</v>
      </c>
      <c r="G376" s="136" t="s">
        <v>38</v>
      </c>
      <c r="H376" s="152" t="s">
        <v>777</v>
      </c>
    </row>
    <row r="377" spans="1:8">
      <c r="A377" s="152" t="s">
        <v>779</v>
      </c>
      <c r="B377" s="152" t="s">
        <v>775</v>
      </c>
      <c r="C377" s="152" t="s">
        <v>773</v>
      </c>
      <c r="D377" s="161">
        <v>5786.6</v>
      </c>
      <c r="E377" s="136" t="s">
        <v>76</v>
      </c>
      <c r="F377" s="136" t="s">
        <v>141</v>
      </c>
      <c r="G377" s="136" t="s">
        <v>38</v>
      </c>
      <c r="H377" s="152" t="s">
        <v>778</v>
      </c>
    </row>
    <row r="378" spans="1:8">
      <c r="A378" s="152" t="s">
        <v>779</v>
      </c>
      <c r="B378" s="152" t="s">
        <v>775</v>
      </c>
      <c r="C378" s="152" t="s">
        <v>776</v>
      </c>
      <c r="D378" s="161">
        <v>5889.8</v>
      </c>
      <c r="E378" s="136" t="s">
        <v>243</v>
      </c>
      <c r="F378" s="136" t="s">
        <v>242</v>
      </c>
      <c r="G378" s="136" t="s">
        <v>240</v>
      </c>
      <c r="H378" s="152" t="s">
        <v>780</v>
      </c>
    </row>
    <row r="379" spans="1:8">
      <c r="A379" s="152" t="s">
        <v>779</v>
      </c>
      <c r="B379" s="152" t="s">
        <v>775</v>
      </c>
      <c r="C379" s="152" t="s">
        <v>776</v>
      </c>
      <c r="D379" s="161">
        <v>5993</v>
      </c>
      <c r="E379" s="136" t="s">
        <v>205</v>
      </c>
      <c r="F379" s="136" t="s">
        <v>694</v>
      </c>
      <c r="G379" s="136" t="s">
        <v>38</v>
      </c>
      <c r="H379" s="152" t="s">
        <v>774</v>
      </c>
    </row>
    <row r="380" spans="1:8">
      <c r="A380" s="152" t="s">
        <v>779</v>
      </c>
      <c r="B380" s="152" t="s">
        <v>772</v>
      </c>
      <c r="C380" s="152" t="s">
        <v>776</v>
      </c>
      <c r="D380" s="161">
        <v>10010.06</v>
      </c>
      <c r="E380" s="136" t="s">
        <v>56</v>
      </c>
      <c r="F380" s="136" t="s">
        <v>696</v>
      </c>
      <c r="G380" s="136" t="s">
        <v>57</v>
      </c>
      <c r="H380" s="152" t="s">
        <v>780</v>
      </c>
    </row>
    <row r="381" spans="1:8">
      <c r="A381" s="162" t="s">
        <v>786</v>
      </c>
      <c r="B381" s="152" t="s">
        <v>772</v>
      </c>
      <c r="C381" s="162" t="s">
        <v>782</v>
      </c>
      <c r="D381" s="161">
        <v>6199.4</v>
      </c>
      <c r="E381" s="136" t="s">
        <v>56</v>
      </c>
      <c r="F381" s="136" t="s">
        <v>647</v>
      </c>
      <c r="G381" s="136" t="s">
        <v>57</v>
      </c>
      <c r="H381" s="162" t="s">
        <v>774</v>
      </c>
    </row>
    <row r="382" spans="1:8">
      <c r="A382" s="162" t="s">
        <v>786</v>
      </c>
      <c r="B382" s="152" t="s">
        <v>772</v>
      </c>
      <c r="C382" s="162" t="s">
        <v>782</v>
      </c>
      <c r="D382" s="161">
        <v>6302.6</v>
      </c>
      <c r="E382" s="136" t="s">
        <v>56</v>
      </c>
      <c r="F382" s="136" t="s">
        <v>699</v>
      </c>
      <c r="G382" s="136" t="s">
        <v>57</v>
      </c>
      <c r="H382" s="162" t="s">
        <v>778</v>
      </c>
    </row>
    <row r="383" spans="1:8">
      <c r="A383" s="162" t="s">
        <v>786</v>
      </c>
      <c r="B383" s="152" t="s">
        <v>775</v>
      </c>
      <c r="C383" s="162" t="s">
        <v>783</v>
      </c>
      <c r="D383" s="161">
        <v>6405.8</v>
      </c>
      <c r="E383" s="136" t="s">
        <v>702</v>
      </c>
      <c r="F383" s="136" t="s">
        <v>701</v>
      </c>
      <c r="G383" s="136" t="s">
        <v>703</v>
      </c>
      <c r="H383" s="162" t="s">
        <v>778</v>
      </c>
    </row>
    <row r="384" spans="1:8">
      <c r="A384" s="162" t="s">
        <v>779</v>
      </c>
      <c r="B384" s="152" t="s">
        <v>775</v>
      </c>
      <c r="C384" s="162" t="s">
        <v>782</v>
      </c>
      <c r="D384" s="161">
        <v>6509</v>
      </c>
      <c r="E384" s="136" t="s">
        <v>135</v>
      </c>
      <c r="F384" s="136" t="s">
        <v>705</v>
      </c>
      <c r="G384" s="136" t="s">
        <v>38</v>
      </c>
      <c r="H384" s="162" t="s">
        <v>780</v>
      </c>
    </row>
    <row r="385" spans="1:8">
      <c r="A385" s="152" t="s">
        <v>771</v>
      </c>
      <c r="B385" s="152" t="s">
        <v>775</v>
      </c>
      <c r="C385" s="162" t="s">
        <v>776</v>
      </c>
      <c r="D385" s="161">
        <v>6612.2</v>
      </c>
      <c r="E385" s="136" t="s">
        <v>56</v>
      </c>
      <c r="F385" s="136" t="s">
        <v>647</v>
      </c>
      <c r="G385" s="136" t="s">
        <v>57</v>
      </c>
      <c r="H385" s="162" t="s">
        <v>780</v>
      </c>
    </row>
    <row r="386" spans="1:8">
      <c r="A386" s="152" t="s">
        <v>779</v>
      </c>
      <c r="B386" s="152" t="s">
        <v>772</v>
      </c>
      <c r="C386" s="162" t="s">
        <v>783</v>
      </c>
      <c r="D386" s="161">
        <v>6715.4</v>
      </c>
      <c r="E386" s="136" t="s">
        <v>56</v>
      </c>
      <c r="F386" s="136" t="s">
        <v>699</v>
      </c>
      <c r="G386" s="136" t="s">
        <v>57</v>
      </c>
      <c r="H386" s="152" t="s">
        <v>774</v>
      </c>
    </row>
    <row r="387" spans="1:8">
      <c r="A387" s="152" t="s">
        <v>779</v>
      </c>
      <c r="B387" s="152" t="s">
        <v>772</v>
      </c>
      <c r="C387" s="152" t="s">
        <v>773</v>
      </c>
      <c r="D387" s="161">
        <v>6818.6</v>
      </c>
      <c r="E387" s="136" t="s">
        <v>586</v>
      </c>
      <c r="F387" s="136" t="s">
        <v>709</v>
      </c>
      <c r="G387" s="136" t="s">
        <v>38</v>
      </c>
      <c r="H387" s="152" t="s">
        <v>777</v>
      </c>
    </row>
    <row r="388" spans="1:8">
      <c r="A388" s="152" t="s">
        <v>779</v>
      </c>
      <c r="B388" s="152" t="s">
        <v>772</v>
      </c>
      <c r="C388" s="152" t="s">
        <v>776</v>
      </c>
      <c r="D388" s="161">
        <v>6895.9000000000005</v>
      </c>
      <c r="E388" s="136" t="s">
        <v>219</v>
      </c>
      <c r="F388" s="136" t="s">
        <v>711</v>
      </c>
      <c r="G388" s="136" t="s">
        <v>38</v>
      </c>
      <c r="H388" s="152" t="s">
        <v>774</v>
      </c>
    </row>
    <row r="389" spans="1:8">
      <c r="A389" s="152" t="s">
        <v>779</v>
      </c>
      <c r="B389" s="152" t="s">
        <v>775</v>
      </c>
      <c r="C389" s="152" t="s">
        <v>773</v>
      </c>
      <c r="D389" s="161">
        <v>9910.6</v>
      </c>
      <c r="E389" s="136" t="s">
        <v>219</v>
      </c>
      <c r="F389" s="136" t="s">
        <v>441</v>
      </c>
      <c r="G389" s="136" t="s">
        <v>38</v>
      </c>
      <c r="H389" s="152" t="s">
        <v>778</v>
      </c>
    </row>
    <row r="390" spans="1:8">
      <c r="A390" s="162" t="s">
        <v>779</v>
      </c>
      <c r="B390" s="152" t="s">
        <v>775</v>
      </c>
      <c r="C390" s="162" t="s">
        <v>782</v>
      </c>
      <c r="D390" s="161">
        <v>5786.6</v>
      </c>
      <c r="E390" s="136" t="s">
        <v>45</v>
      </c>
      <c r="F390" s="136" t="s">
        <v>542</v>
      </c>
      <c r="G390" s="136" t="s">
        <v>38</v>
      </c>
      <c r="H390" s="152" t="s">
        <v>778</v>
      </c>
    </row>
    <row r="391" spans="1:8">
      <c r="A391" s="152" t="s">
        <v>771</v>
      </c>
      <c r="B391" s="152" t="s">
        <v>772</v>
      </c>
      <c r="C391" s="162" t="s">
        <v>783</v>
      </c>
      <c r="D391" s="161">
        <v>5889.8</v>
      </c>
      <c r="E391" s="136" t="s">
        <v>73</v>
      </c>
      <c r="F391" s="136" t="s">
        <v>445</v>
      </c>
      <c r="G391" s="136" t="s">
        <v>38</v>
      </c>
      <c r="H391" s="152" t="s">
        <v>777</v>
      </c>
    </row>
    <row r="392" spans="1:8">
      <c r="A392" s="162" t="s">
        <v>784</v>
      </c>
      <c r="B392" s="152" t="s">
        <v>772</v>
      </c>
      <c r="C392" s="162" t="s">
        <v>782</v>
      </c>
      <c r="D392" s="161">
        <v>5993</v>
      </c>
      <c r="E392" s="136" t="s">
        <v>564</v>
      </c>
      <c r="F392" s="136" t="s">
        <v>563</v>
      </c>
      <c r="G392" s="136" t="s">
        <v>38</v>
      </c>
      <c r="H392" s="152" t="s">
        <v>774</v>
      </c>
    </row>
    <row r="393" spans="1:8">
      <c r="A393" s="152" t="s">
        <v>771</v>
      </c>
      <c r="B393" s="152" t="s">
        <v>772</v>
      </c>
      <c r="C393" s="162" t="s">
        <v>776</v>
      </c>
      <c r="D393" s="161">
        <v>10010.06</v>
      </c>
      <c r="E393" s="136" t="s">
        <v>45</v>
      </c>
      <c r="F393" s="136" t="s">
        <v>508</v>
      </c>
      <c r="G393" s="136" t="s">
        <v>38</v>
      </c>
      <c r="H393" s="152" t="s">
        <v>778</v>
      </c>
    </row>
    <row r="394" spans="1:8">
      <c r="A394" s="152" t="s">
        <v>779</v>
      </c>
      <c r="B394" s="152" t="s">
        <v>775</v>
      </c>
      <c r="C394" s="152" t="s">
        <v>773</v>
      </c>
      <c r="D394" s="161">
        <v>6199.4</v>
      </c>
      <c r="E394" s="136" t="s">
        <v>511</v>
      </c>
      <c r="F394" s="136" t="s">
        <v>718</v>
      </c>
      <c r="G394" s="136" t="s">
        <v>38</v>
      </c>
      <c r="H394" s="152" t="s">
        <v>778</v>
      </c>
    </row>
    <row r="395" spans="1:8">
      <c r="A395" s="162" t="s">
        <v>787</v>
      </c>
      <c r="B395" s="152" t="s">
        <v>772</v>
      </c>
      <c r="C395" s="152" t="s">
        <v>776</v>
      </c>
      <c r="D395" s="161">
        <v>6302.6</v>
      </c>
      <c r="E395" s="136" t="s">
        <v>227</v>
      </c>
      <c r="F395" s="136" t="s">
        <v>576</v>
      </c>
      <c r="G395" s="136" t="s">
        <v>38</v>
      </c>
      <c r="H395" s="152" t="s">
        <v>777</v>
      </c>
    </row>
    <row r="396" spans="1:8">
      <c r="A396" s="162" t="s">
        <v>786</v>
      </c>
      <c r="B396" s="152" t="s">
        <v>775</v>
      </c>
      <c r="C396" s="152" t="s">
        <v>776</v>
      </c>
      <c r="D396" s="161">
        <v>6405.8</v>
      </c>
      <c r="E396" s="136" t="s">
        <v>511</v>
      </c>
      <c r="F396" s="136" t="s">
        <v>568</v>
      </c>
      <c r="G396" s="136" t="s">
        <v>38</v>
      </c>
      <c r="H396" s="152" t="s">
        <v>778</v>
      </c>
    </row>
    <row r="397" spans="1:8">
      <c r="A397" s="162" t="s">
        <v>786</v>
      </c>
      <c r="B397" s="152" t="s">
        <v>772</v>
      </c>
      <c r="C397" s="152" t="s">
        <v>776</v>
      </c>
      <c r="D397" s="161">
        <v>6509</v>
      </c>
      <c r="E397" s="136" t="s">
        <v>141</v>
      </c>
      <c r="F397" s="136" t="s">
        <v>110</v>
      </c>
      <c r="G397" s="136" t="s">
        <v>161</v>
      </c>
      <c r="H397" s="152" t="s">
        <v>777</v>
      </c>
    </row>
    <row r="398" spans="1:8">
      <c r="A398" s="162" t="s">
        <v>784</v>
      </c>
      <c r="B398" s="152" t="s">
        <v>775</v>
      </c>
      <c r="C398" s="162" t="s">
        <v>782</v>
      </c>
      <c r="D398" s="161">
        <v>6715.4</v>
      </c>
      <c r="E398" s="136" t="s">
        <v>572</v>
      </c>
      <c r="F398" s="136" t="s">
        <v>723</v>
      </c>
      <c r="G398" s="136" t="s">
        <v>38</v>
      </c>
      <c r="H398" s="152" t="s">
        <v>778</v>
      </c>
    </row>
    <row r="399" spans="1:8">
      <c r="A399" s="162" t="s">
        <v>785</v>
      </c>
      <c r="B399" s="152" t="s">
        <v>775</v>
      </c>
      <c r="C399" s="162" t="s">
        <v>782</v>
      </c>
      <c r="D399" s="161">
        <v>6818.6</v>
      </c>
      <c r="E399" s="136" t="s">
        <v>580</v>
      </c>
      <c r="F399" s="136" t="s">
        <v>579</v>
      </c>
      <c r="G399" s="136" t="s">
        <v>38</v>
      </c>
      <c r="H399" s="152" t="s">
        <v>780</v>
      </c>
    </row>
    <row r="400" spans="1:8">
      <c r="A400" s="152" t="s">
        <v>771</v>
      </c>
      <c r="B400" s="152" t="s">
        <v>775</v>
      </c>
      <c r="C400" s="162" t="s">
        <v>783</v>
      </c>
      <c r="D400" s="161">
        <v>6895.9000000000005</v>
      </c>
      <c r="E400" s="136" t="s">
        <v>243</v>
      </c>
      <c r="F400" s="136" t="s">
        <v>242</v>
      </c>
      <c r="G400" s="136" t="s">
        <v>240</v>
      </c>
      <c r="H400" s="152" t="s">
        <v>774</v>
      </c>
    </row>
    <row r="401" spans="1:8">
      <c r="A401" s="162" t="s">
        <v>786</v>
      </c>
      <c r="B401" s="152" t="s">
        <v>772</v>
      </c>
      <c r="C401" s="162" t="s">
        <v>782</v>
      </c>
      <c r="D401" s="161">
        <v>9910.6</v>
      </c>
      <c r="E401" s="136" t="s">
        <v>205</v>
      </c>
      <c r="F401" s="136" t="s">
        <v>694</v>
      </c>
      <c r="G401" s="136" t="s">
        <v>38</v>
      </c>
      <c r="H401" s="152" t="s">
        <v>780</v>
      </c>
    </row>
    <row r="402" spans="1:8">
      <c r="A402" s="162" t="s">
        <v>784</v>
      </c>
      <c r="B402" s="152" t="s">
        <v>775</v>
      </c>
      <c r="C402" s="162" t="s">
        <v>776</v>
      </c>
      <c r="D402" s="161">
        <v>5786.6</v>
      </c>
      <c r="E402" s="136" t="s">
        <v>56</v>
      </c>
      <c r="F402" s="136" t="s">
        <v>696</v>
      </c>
      <c r="G402" s="136" t="s">
        <v>57</v>
      </c>
      <c r="H402" s="162" t="s">
        <v>774</v>
      </c>
    </row>
    <row r="403" spans="1:8">
      <c r="A403" s="162" t="s">
        <v>784</v>
      </c>
      <c r="B403" s="152" t="s">
        <v>772</v>
      </c>
      <c r="C403" s="162" t="s">
        <v>783</v>
      </c>
      <c r="D403" s="161">
        <v>5889.8</v>
      </c>
      <c r="E403" s="136" t="s">
        <v>56</v>
      </c>
      <c r="F403" s="136" t="s">
        <v>647</v>
      </c>
      <c r="G403" s="136" t="s">
        <v>57</v>
      </c>
      <c r="H403" s="162" t="s">
        <v>778</v>
      </c>
    </row>
    <row r="404" spans="1:8">
      <c r="A404" s="162" t="s">
        <v>786</v>
      </c>
      <c r="B404" s="152" t="s">
        <v>775</v>
      </c>
      <c r="C404" s="162" t="s">
        <v>783</v>
      </c>
      <c r="D404" s="161">
        <v>6405.8</v>
      </c>
      <c r="E404" s="136" t="s">
        <v>56</v>
      </c>
      <c r="F404" s="136" t="s">
        <v>699</v>
      </c>
      <c r="G404" s="136" t="s">
        <v>57</v>
      </c>
      <c r="H404" s="162" t="s">
        <v>778</v>
      </c>
    </row>
    <row r="405" spans="1:8">
      <c r="A405" s="162" t="s">
        <v>779</v>
      </c>
      <c r="B405" s="152" t="s">
        <v>775</v>
      </c>
      <c r="C405" s="162" t="s">
        <v>782</v>
      </c>
      <c r="D405" s="161">
        <v>6509</v>
      </c>
      <c r="E405" s="136" t="s">
        <v>702</v>
      </c>
      <c r="F405" s="136" t="s">
        <v>701</v>
      </c>
      <c r="G405" s="136" t="s">
        <v>703</v>
      </c>
      <c r="H405" s="162" t="s">
        <v>780</v>
      </c>
    </row>
    <row r="406" spans="1:8">
      <c r="A406" s="152" t="s">
        <v>771</v>
      </c>
      <c r="B406" s="152" t="s">
        <v>775</v>
      </c>
      <c r="C406" s="162" t="s">
        <v>776</v>
      </c>
      <c r="D406" s="161">
        <v>6612.2</v>
      </c>
      <c r="E406" s="136" t="s">
        <v>135</v>
      </c>
      <c r="F406" s="136" t="s">
        <v>705</v>
      </c>
      <c r="G406" s="136" t="s">
        <v>38</v>
      </c>
      <c r="H406" s="162" t="s">
        <v>780</v>
      </c>
    </row>
    <row r="407" spans="1:8">
      <c r="A407" s="152" t="s">
        <v>779</v>
      </c>
      <c r="B407" s="152" t="s">
        <v>772</v>
      </c>
      <c r="C407" s="162" t="s">
        <v>783</v>
      </c>
      <c r="D407" s="161">
        <v>6715.4</v>
      </c>
      <c r="E407" s="136" t="s">
        <v>56</v>
      </c>
      <c r="F407" s="136" t="s">
        <v>647</v>
      </c>
      <c r="G407" s="136" t="s">
        <v>57</v>
      </c>
      <c r="H407" s="152" t="s">
        <v>774</v>
      </c>
    </row>
    <row r="408" spans="1:8">
      <c r="A408" s="152" t="s">
        <v>779</v>
      </c>
      <c r="B408" s="152" t="s">
        <v>772</v>
      </c>
      <c r="C408" s="152" t="s">
        <v>773</v>
      </c>
      <c r="D408" s="161">
        <v>6818.6</v>
      </c>
      <c r="E408" s="136" t="s">
        <v>56</v>
      </c>
      <c r="F408" s="136" t="s">
        <v>699</v>
      </c>
      <c r="G408" s="136" t="s">
        <v>57</v>
      </c>
      <c r="H408" s="152" t="s">
        <v>777</v>
      </c>
    </row>
    <row r="409" spans="1:8">
      <c r="A409" s="152" t="s">
        <v>779</v>
      </c>
      <c r="B409" s="152" t="s">
        <v>772</v>
      </c>
      <c r="C409" s="152" t="s">
        <v>776</v>
      </c>
      <c r="D409" s="161">
        <v>6895.9000000000005</v>
      </c>
      <c r="E409" s="136" t="s">
        <v>586</v>
      </c>
      <c r="F409" s="136" t="s">
        <v>709</v>
      </c>
      <c r="G409" s="136" t="s">
        <v>38</v>
      </c>
      <c r="H409" s="152" t="s">
        <v>774</v>
      </c>
    </row>
    <row r="410" spans="1:8">
      <c r="A410" s="152" t="s">
        <v>779</v>
      </c>
      <c r="B410" s="152" t="s">
        <v>775</v>
      </c>
      <c r="C410" s="152" t="s">
        <v>773</v>
      </c>
      <c r="D410" s="161">
        <v>9910.6</v>
      </c>
      <c r="E410" s="136" t="s">
        <v>219</v>
      </c>
      <c r="F410" s="136" t="s">
        <v>711</v>
      </c>
      <c r="G410" s="136" t="s">
        <v>38</v>
      </c>
      <c r="H410" s="152" t="s">
        <v>778</v>
      </c>
    </row>
    <row r="411" spans="1:8">
      <c r="A411" s="162" t="s">
        <v>779</v>
      </c>
      <c r="B411" s="152" t="s">
        <v>775</v>
      </c>
      <c r="C411" s="162" t="s">
        <v>782</v>
      </c>
      <c r="D411" s="161">
        <v>5786.6</v>
      </c>
      <c r="E411" s="136" t="s">
        <v>219</v>
      </c>
      <c r="F411" s="136" t="s">
        <v>441</v>
      </c>
      <c r="G411" s="136" t="s">
        <v>38</v>
      </c>
      <c r="H411" s="152" t="s">
        <v>778</v>
      </c>
    </row>
    <row r="412" spans="1:8">
      <c r="A412" s="152" t="s">
        <v>771</v>
      </c>
      <c r="B412" s="152" t="s">
        <v>772</v>
      </c>
      <c r="C412" s="162" t="s">
        <v>783</v>
      </c>
      <c r="D412" s="161">
        <v>5889.8</v>
      </c>
      <c r="E412" s="136" t="s">
        <v>702</v>
      </c>
      <c r="F412" s="136" t="s">
        <v>701</v>
      </c>
      <c r="G412" s="136" t="s">
        <v>703</v>
      </c>
      <c r="H412" s="162" t="s">
        <v>778</v>
      </c>
    </row>
    <row r="413" spans="1:8">
      <c r="A413" s="162" t="s">
        <v>784</v>
      </c>
      <c r="B413" s="152" t="s">
        <v>772</v>
      </c>
      <c r="C413" s="162" t="s">
        <v>782</v>
      </c>
      <c r="D413" s="161">
        <v>5993</v>
      </c>
      <c r="E413" s="136" t="s">
        <v>135</v>
      </c>
      <c r="F413" s="136" t="s">
        <v>705</v>
      </c>
      <c r="G413" s="136" t="s">
        <v>38</v>
      </c>
      <c r="H413" s="162" t="s">
        <v>778</v>
      </c>
    </row>
    <row r="414" spans="1:8">
      <c r="A414" s="152" t="s">
        <v>779</v>
      </c>
      <c r="B414" s="152" t="s">
        <v>772</v>
      </c>
      <c r="C414" s="152" t="s">
        <v>773</v>
      </c>
      <c r="D414" s="161">
        <v>6818.6</v>
      </c>
      <c r="E414" s="136" t="s">
        <v>56</v>
      </c>
      <c r="F414" s="136" t="s">
        <v>647</v>
      </c>
      <c r="G414" s="136" t="s">
        <v>57</v>
      </c>
      <c r="H414" s="162" t="s">
        <v>780</v>
      </c>
    </row>
    <row r="415" spans="1:8">
      <c r="A415" s="152" t="s">
        <v>779</v>
      </c>
      <c r="B415" s="152" t="s">
        <v>772</v>
      </c>
      <c r="C415" s="152" t="s">
        <v>776</v>
      </c>
      <c r="D415" s="161">
        <v>6895.9000000000005</v>
      </c>
      <c r="E415" s="136" t="s">
        <v>56</v>
      </c>
      <c r="F415" s="136" t="s">
        <v>699</v>
      </c>
      <c r="G415" s="136" t="s">
        <v>57</v>
      </c>
      <c r="H415" s="152" t="s">
        <v>778</v>
      </c>
    </row>
    <row r="420" spans="1:8">
      <c r="A420" s="159" t="s">
        <v>764</v>
      </c>
      <c r="B420" s="159" t="s">
        <v>765</v>
      </c>
      <c r="C420" s="159" t="s">
        <v>766</v>
      </c>
      <c r="D420" s="160" t="s">
        <v>1133</v>
      </c>
      <c r="E420" s="159" t="s">
        <v>768</v>
      </c>
      <c r="F420" s="159" t="s">
        <v>769</v>
      </c>
      <c r="G420" s="159" t="s">
        <v>34</v>
      </c>
      <c r="H420" s="159" t="s">
        <v>770</v>
      </c>
    </row>
    <row r="421" spans="1:8">
      <c r="A421" s="152" t="s">
        <v>779</v>
      </c>
      <c r="B421" s="152" t="s">
        <v>775</v>
      </c>
      <c r="C421" s="152" t="s">
        <v>776</v>
      </c>
      <c r="D421" s="161">
        <v>6096.2</v>
      </c>
      <c r="E421" s="136" t="s">
        <v>45</v>
      </c>
      <c r="F421" s="136" t="s">
        <v>59</v>
      </c>
      <c r="G421" s="136" t="s">
        <v>38</v>
      </c>
      <c r="H421" s="152" t="s">
        <v>778</v>
      </c>
    </row>
    <row r="422" spans="1:8">
      <c r="A422" s="152" t="s">
        <v>779</v>
      </c>
      <c r="B422" s="152" t="s">
        <v>775</v>
      </c>
      <c r="C422" s="152" t="s">
        <v>773</v>
      </c>
      <c r="D422" s="161">
        <v>6302.6</v>
      </c>
      <c r="E422" s="136" t="s">
        <v>66</v>
      </c>
      <c r="F422" s="136" t="s">
        <v>65</v>
      </c>
      <c r="G422" s="136" t="s">
        <v>38</v>
      </c>
      <c r="H422" s="152" t="s">
        <v>778</v>
      </c>
    </row>
    <row r="423" spans="1:8">
      <c r="A423" s="152" t="s">
        <v>779</v>
      </c>
      <c r="B423" s="152" t="s">
        <v>772</v>
      </c>
      <c r="C423" s="152" t="s">
        <v>776</v>
      </c>
      <c r="D423" s="161">
        <v>6509</v>
      </c>
      <c r="E423" s="136" t="s">
        <v>73</v>
      </c>
      <c r="F423" s="136" t="s">
        <v>72</v>
      </c>
      <c r="G423" s="136" t="s">
        <v>38</v>
      </c>
      <c r="H423" s="152" t="s">
        <v>774</v>
      </c>
    </row>
    <row r="424" spans="1:8">
      <c r="A424" s="162" t="s">
        <v>781</v>
      </c>
      <c r="B424" s="162" t="s">
        <v>772</v>
      </c>
      <c r="C424" s="162" t="s">
        <v>782</v>
      </c>
      <c r="D424" s="161">
        <v>6715.4</v>
      </c>
      <c r="E424" s="136" t="s">
        <v>45</v>
      </c>
      <c r="F424" s="136" t="s">
        <v>79</v>
      </c>
      <c r="G424" s="136" t="s">
        <v>38</v>
      </c>
      <c r="H424" s="162" t="s">
        <v>774</v>
      </c>
    </row>
    <row r="425" spans="1:8">
      <c r="A425" s="162" t="s">
        <v>781</v>
      </c>
      <c r="B425" s="162" t="s">
        <v>775</v>
      </c>
      <c r="C425" s="162" t="s">
        <v>782</v>
      </c>
      <c r="D425" s="161">
        <v>6818.6</v>
      </c>
      <c r="E425" s="136" t="s">
        <v>82</v>
      </c>
      <c r="F425" s="136" t="s">
        <v>81</v>
      </c>
      <c r="G425" s="136" t="s">
        <v>38</v>
      </c>
      <c r="H425" s="162" t="s">
        <v>778</v>
      </c>
    </row>
    <row r="426" spans="1:8">
      <c r="A426" s="162" t="s">
        <v>784</v>
      </c>
      <c r="B426" s="152" t="s">
        <v>772</v>
      </c>
      <c r="C426" s="152" t="s">
        <v>773</v>
      </c>
      <c r="D426" s="161">
        <v>7282.4000000000005</v>
      </c>
      <c r="E426" s="136" t="s">
        <v>45</v>
      </c>
      <c r="F426" s="136" t="s">
        <v>97</v>
      </c>
      <c r="G426" s="136" t="s">
        <v>38</v>
      </c>
      <c r="H426" s="152" t="s">
        <v>774</v>
      </c>
    </row>
    <row r="427" spans="1:8">
      <c r="A427" s="162" t="s">
        <v>784</v>
      </c>
      <c r="B427" s="152" t="s">
        <v>772</v>
      </c>
      <c r="C427" s="152" t="s">
        <v>773</v>
      </c>
      <c r="D427" s="161">
        <v>7359.7000000000007</v>
      </c>
      <c r="E427" s="136" t="s">
        <v>45</v>
      </c>
      <c r="F427" s="136" t="s">
        <v>99</v>
      </c>
      <c r="G427" s="136" t="s">
        <v>38</v>
      </c>
      <c r="H427" s="152" t="s">
        <v>778</v>
      </c>
    </row>
    <row r="428" spans="1:8">
      <c r="A428" s="162" t="s">
        <v>784</v>
      </c>
      <c r="B428" s="152" t="s">
        <v>775</v>
      </c>
      <c r="C428" s="152" t="s">
        <v>776</v>
      </c>
      <c r="D428" s="161">
        <v>7437</v>
      </c>
      <c r="E428" s="136" t="s">
        <v>45</v>
      </c>
      <c r="F428" s="136" t="s">
        <v>101</v>
      </c>
      <c r="G428" s="136" t="s">
        <v>38</v>
      </c>
      <c r="H428" s="152" t="s">
        <v>778</v>
      </c>
    </row>
    <row r="429" spans="1:8">
      <c r="A429" s="162" t="s">
        <v>784</v>
      </c>
      <c r="B429" s="152" t="s">
        <v>772</v>
      </c>
      <c r="C429" s="152" t="s">
        <v>773</v>
      </c>
      <c r="D429" s="161">
        <v>7514.3</v>
      </c>
      <c r="E429" s="136" t="s">
        <v>104</v>
      </c>
      <c r="F429" s="136" t="s">
        <v>103</v>
      </c>
      <c r="G429" s="136" t="s">
        <v>38</v>
      </c>
      <c r="H429" s="152" t="s">
        <v>778</v>
      </c>
    </row>
    <row r="430" spans="1:8">
      <c r="A430" s="162" t="s">
        <v>784</v>
      </c>
      <c r="B430" s="152" t="s">
        <v>772</v>
      </c>
      <c r="C430" s="152" t="s">
        <v>773</v>
      </c>
      <c r="D430" s="161">
        <v>7668.9000000000005</v>
      </c>
      <c r="E430" s="136" t="s">
        <v>45</v>
      </c>
      <c r="F430" s="136" t="s">
        <v>108</v>
      </c>
      <c r="G430" s="136" t="s">
        <v>38</v>
      </c>
      <c r="H430" s="152" t="s">
        <v>777</v>
      </c>
    </row>
    <row r="431" spans="1:8">
      <c r="A431" s="162" t="s">
        <v>784</v>
      </c>
      <c r="B431" s="152" t="s">
        <v>772</v>
      </c>
      <c r="C431" s="152" t="s">
        <v>773</v>
      </c>
      <c r="D431" s="161">
        <v>7823.5</v>
      </c>
      <c r="E431" s="136" t="s">
        <v>113</v>
      </c>
      <c r="F431" s="136" t="s">
        <v>112</v>
      </c>
      <c r="G431" s="136" t="s">
        <v>38</v>
      </c>
      <c r="H431" s="152" t="s">
        <v>778</v>
      </c>
    </row>
    <row r="432" spans="1:8">
      <c r="A432" s="162" t="s">
        <v>784</v>
      </c>
      <c r="B432" s="152" t="s">
        <v>775</v>
      </c>
      <c r="C432" s="152" t="s">
        <v>776</v>
      </c>
      <c r="D432" s="161">
        <v>7978.1</v>
      </c>
      <c r="E432" s="136" t="s">
        <v>45</v>
      </c>
      <c r="F432" s="136" t="s">
        <v>118</v>
      </c>
      <c r="G432" s="136" t="s">
        <v>38</v>
      </c>
      <c r="H432" s="152" t="s">
        <v>777</v>
      </c>
    </row>
    <row r="433" spans="1:8">
      <c r="A433" s="162" t="s">
        <v>784</v>
      </c>
      <c r="B433" s="152" t="s">
        <v>772</v>
      </c>
      <c r="C433" s="152" t="s">
        <v>773</v>
      </c>
      <c r="D433" s="161">
        <v>8055.4000000000005</v>
      </c>
      <c r="E433" s="136" t="s">
        <v>45</v>
      </c>
      <c r="F433" s="136" t="s">
        <v>120</v>
      </c>
      <c r="G433" s="136" t="s">
        <v>38</v>
      </c>
      <c r="H433" s="152" t="s">
        <v>778</v>
      </c>
    </row>
    <row r="434" spans="1:8">
      <c r="A434" s="162" t="s">
        <v>784</v>
      </c>
      <c r="B434" s="152" t="s">
        <v>775</v>
      </c>
      <c r="C434" s="152" t="s">
        <v>776</v>
      </c>
      <c r="D434" s="161">
        <v>8210</v>
      </c>
      <c r="E434" s="136" t="s">
        <v>37</v>
      </c>
      <c r="F434" s="136" t="s">
        <v>125</v>
      </c>
      <c r="G434" s="136" t="s">
        <v>38</v>
      </c>
      <c r="H434" s="152" t="s">
        <v>778</v>
      </c>
    </row>
    <row r="435" spans="1:8">
      <c r="A435" s="162" t="s">
        <v>784</v>
      </c>
      <c r="B435" s="152" t="s">
        <v>772</v>
      </c>
      <c r="C435" s="152" t="s">
        <v>776</v>
      </c>
      <c r="D435" s="161">
        <v>8364.6</v>
      </c>
      <c r="E435" s="136" t="s">
        <v>45</v>
      </c>
      <c r="F435" s="136" t="s">
        <v>129</v>
      </c>
      <c r="G435" s="136" t="s">
        <v>38</v>
      </c>
      <c r="H435" s="152" t="s">
        <v>774</v>
      </c>
    </row>
    <row r="436" spans="1:8">
      <c r="A436" s="162" t="s">
        <v>784</v>
      </c>
      <c r="B436" s="152" t="s">
        <v>772</v>
      </c>
      <c r="C436" s="152" t="s">
        <v>776</v>
      </c>
      <c r="D436" s="161">
        <v>8441.9</v>
      </c>
      <c r="E436" s="136" t="s">
        <v>37</v>
      </c>
      <c r="F436" s="136" t="s">
        <v>125</v>
      </c>
      <c r="G436" s="136" t="s">
        <v>38</v>
      </c>
      <c r="H436" s="152" t="s">
        <v>780</v>
      </c>
    </row>
    <row r="437" spans="1:8">
      <c r="A437" s="162" t="s">
        <v>785</v>
      </c>
      <c r="B437" s="162" t="s">
        <v>772</v>
      </c>
      <c r="C437" s="162" t="s">
        <v>782</v>
      </c>
      <c r="D437" s="161">
        <v>8596.5</v>
      </c>
      <c r="E437" s="136" t="s">
        <v>135</v>
      </c>
      <c r="F437" s="136" t="s">
        <v>134</v>
      </c>
      <c r="G437" s="136" t="s">
        <v>38</v>
      </c>
      <c r="H437" s="162" t="s">
        <v>778</v>
      </c>
    </row>
    <row r="438" spans="1:8">
      <c r="A438" s="162" t="s">
        <v>785</v>
      </c>
      <c r="B438" s="152" t="s">
        <v>772</v>
      </c>
      <c r="C438" s="152" t="s">
        <v>773</v>
      </c>
      <c r="D438" s="161">
        <v>9060.2999999999993</v>
      </c>
      <c r="E438" s="136" t="s">
        <v>135</v>
      </c>
      <c r="F438" s="136" t="s">
        <v>150</v>
      </c>
      <c r="G438" s="136" t="s">
        <v>38</v>
      </c>
      <c r="H438" s="152" t="s">
        <v>778</v>
      </c>
    </row>
    <row r="439" spans="1:8">
      <c r="A439" s="152" t="s">
        <v>779</v>
      </c>
      <c r="B439" s="152" t="s">
        <v>775</v>
      </c>
      <c r="C439" s="152" t="s">
        <v>773</v>
      </c>
      <c r="D439" s="161">
        <v>9446.7999999999993</v>
      </c>
      <c r="E439" s="136" t="s">
        <v>135</v>
      </c>
      <c r="F439" s="136" t="s">
        <v>163</v>
      </c>
      <c r="G439" s="136" t="s">
        <v>38</v>
      </c>
      <c r="H439" s="152" t="s">
        <v>780</v>
      </c>
    </row>
    <row r="440" spans="1:8">
      <c r="A440" s="152" t="s">
        <v>779</v>
      </c>
      <c r="B440" s="152" t="s">
        <v>772</v>
      </c>
      <c r="C440" s="152" t="s">
        <v>776</v>
      </c>
      <c r="D440" s="161">
        <v>9524.1</v>
      </c>
      <c r="E440" s="136" t="s">
        <v>166</v>
      </c>
      <c r="F440" s="136" t="s">
        <v>165</v>
      </c>
      <c r="G440" s="136" t="s">
        <v>38</v>
      </c>
      <c r="H440" s="152" t="s">
        <v>774</v>
      </c>
    </row>
    <row r="441" spans="1:8">
      <c r="A441" s="152" t="s">
        <v>779</v>
      </c>
      <c r="B441" s="152" t="s">
        <v>775</v>
      </c>
      <c r="C441" s="152" t="s">
        <v>776</v>
      </c>
      <c r="D441" s="161">
        <v>9601.4</v>
      </c>
      <c r="E441" s="136" t="s">
        <v>169</v>
      </c>
      <c r="F441" s="136" t="s">
        <v>168</v>
      </c>
      <c r="G441" s="136" t="s">
        <v>38</v>
      </c>
      <c r="H441" s="152" t="s">
        <v>777</v>
      </c>
    </row>
    <row r="442" spans="1:8">
      <c r="A442" s="152" t="s">
        <v>779</v>
      </c>
      <c r="B442" s="152" t="s">
        <v>775</v>
      </c>
      <c r="C442" s="152" t="s">
        <v>776</v>
      </c>
      <c r="D442" s="161">
        <v>9756</v>
      </c>
      <c r="E442" s="136" t="s">
        <v>174</v>
      </c>
      <c r="F442" s="136" t="s">
        <v>173</v>
      </c>
      <c r="G442" s="136" t="s">
        <v>38</v>
      </c>
      <c r="H442" s="152" t="s">
        <v>777</v>
      </c>
    </row>
    <row r="443" spans="1:8">
      <c r="A443" s="162" t="s">
        <v>781</v>
      </c>
      <c r="B443" s="152" t="s">
        <v>775</v>
      </c>
      <c r="C443" s="152" t="s">
        <v>776</v>
      </c>
      <c r="D443" s="161">
        <v>9833.2999999999993</v>
      </c>
      <c r="E443" s="136" t="s">
        <v>177</v>
      </c>
      <c r="F443" s="136" t="s">
        <v>176</v>
      </c>
      <c r="G443" s="136" t="s">
        <v>38</v>
      </c>
      <c r="H443" s="152" t="s">
        <v>778</v>
      </c>
    </row>
    <row r="444" spans="1:8">
      <c r="A444" s="162" t="s">
        <v>781</v>
      </c>
      <c r="B444" s="152" t="s">
        <v>772</v>
      </c>
      <c r="C444" s="152" t="s">
        <v>776</v>
      </c>
      <c r="D444" s="161">
        <v>9987.9</v>
      </c>
      <c r="E444" s="136" t="s">
        <v>181</v>
      </c>
      <c r="F444" s="136" t="s">
        <v>180</v>
      </c>
      <c r="G444" s="136" t="s">
        <v>38</v>
      </c>
      <c r="H444" s="152" t="s">
        <v>774</v>
      </c>
    </row>
    <row r="445" spans="1:8">
      <c r="A445" s="162" t="s">
        <v>781</v>
      </c>
      <c r="B445" s="152" t="s">
        <v>772</v>
      </c>
      <c r="C445" s="152" t="s">
        <v>776</v>
      </c>
      <c r="D445" s="161">
        <v>9990.67</v>
      </c>
      <c r="E445" s="136" t="s">
        <v>45</v>
      </c>
      <c r="F445" s="136" t="s">
        <v>183</v>
      </c>
      <c r="G445" s="136" t="s">
        <v>38</v>
      </c>
      <c r="H445" s="152" t="s">
        <v>780</v>
      </c>
    </row>
    <row r="446" spans="1:8">
      <c r="A446" s="162" t="s">
        <v>786</v>
      </c>
      <c r="B446" s="152" t="s">
        <v>775</v>
      </c>
      <c r="C446" s="152" t="s">
        <v>776</v>
      </c>
      <c r="D446" s="161">
        <v>10001.75</v>
      </c>
      <c r="E446" s="136" t="s">
        <v>45</v>
      </c>
      <c r="F446" s="136" t="s">
        <v>192</v>
      </c>
      <c r="G446" s="136" t="s">
        <v>38</v>
      </c>
      <c r="H446" s="152" t="s">
        <v>778</v>
      </c>
    </row>
    <row r="447" spans="1:8">
      <c r="A447" s="162" t="s">
        <v>779</v>
      </c>
      <c r="B447" s="152" t="s">
        <v>775</v>
      </c>
      <c r="C447" s="152" t="s">
        <v>776</v>
      </c>
      <c r="D447" s="161">
        <v>10007.289999999999</v>
      </c>
      <c r="E447" s="136" t="s">
        <v>37</v>
      </c>
      <c r="F447" s="136" t="s">
        <v>196</v>
      </c>
      <c r="G447" s="136" t="s">
        <v>38</v>
      </c>
      <c r="H447" s="152" t="s">
        <v>778</v>
      </c>
    </row>
    <row r="448" spans="1:8">
      <c r="A448" s="162" t="s">
        <v>779</v>
      </c>
      <c r="B448" s="152" t="s">
        <v>775</v>
      </c>
      <c r="C448" s="152" t="s">
        <v>776</v>
      </c>
      <c r="D448" s="161">
        <v>10010.06</v>
      </c>
      <c r="E448" s="136" t="s">
        <v>199</v>
      </c>
      <c r="F448" s="136" t="s">
        <v>198</v>
      </c>
      <c r="G448" s="136" t="s">
        <v>38</v>
      </c>
      <c r="H448" s="152" t="s">
        <v>777</v>
      </c>
    </row>
    <row r="449" spans="1:8">
      <c r="A449" s="162" t="s">
        <v>779</v>
      </c>
      <c r="B449" s="152" t="s">
        <v>775</v>
      </c>
      <c r="C449" s="152" t="s">
        <v>773</v>
      </c>
      <c r="D449" s="161">
        <v>10012.83</v>
      </c>
      <c r="E449" s="136" t="s">
        <v>37</v>
      </c>
      <c r="F449" s="136" t="s">
        <v>201</v>
      </c>
      <c r="G449" s="136" t="s">
        <v>38</v>
      </c>
      <c r="H449" s="152" t="s">
        <v>778</v>
      </c>
    </row>
    <row r="450" spans="1:8">
      <c r="A450" s="162" t="s">
        <v>779</v>
      </c>
      <c r="B450" s="152" t="s">
        <v>772</v>
      </c>
      <c r="C450" s="152" t="s">
        <v>776</v>
      </c>
      <c r="D450" s="161">
        <v>10015.6</v>
      </c>
      <c r="E450" s="136" t="s">
        <v>37</v>
      </c>
      <c r="F450" s="136" t="s">
        <v>203</v>
      </c>
      <c r="G450" s="136" t="s">
        <v>38</v>
      </c>
      <c r="H450" s="152" t="s">
        <v>780</v>
      </c>
    </row>
    <row r="451" spans="1:8">
      <c r="A451" s="162" t="s">
        <v>779</v>
      </c>
      <c r="B451" s="152" t="s">
        <v>772</v>
      </c>
      <c r="C451" s="152" t="s">
        <v>776</v>
      </c>
      <c r="D451" s="161">
        <v>10018.369999999999</v>
      </c>
      <c r="E451" s="136" t="s">
        <v>205</v>
      </c>
      <c r="F451" s="136" t="s">
        <v>110</v>
      </c>
      <c r="G451" s="136" t="s">
        <v>38</v>
      </c>
      <c r="H451" s="152" t="s">
        <v>774</v>
      </c>
    </row>
    <row r="452" spans="1:8">
      <c r="A452" s="162" t="s">
        <v>779</v>
      </c>
      <c r="B452" s="162" t="s">
        <v>772</v>
      </c>
      <c r="C452" s="162" t="s">
        <v>782</v>
      </c>
      <c r="D452" s="161">
        <v>10023.91</v>
      </c>
      <c r="E452" s="136" t="s">
        <v>209</v>
      </c>
      <c r="F452" s="136" t="s">
        <v>208</v>
      </c>
      <c r="G452" s="136" t="s">
        <v>38</v>
      </c>
      <c r="H452" s="162" t="s">
        <v>774</v>
      </c>
    </row>
    <row r="453" spans="1:8">
      <c r="A453" s="162" t="s">
        <v>781</v>
      </c>
      <c r="B453" s="162" t="s">
        <v>775</v>
      </c>
      <c r="C453" s="162" t="s">
        <v>782</v>
      </c>
      <c r="D453" s="161">
        <v>10032.219999999999</v>
      </c>
      <c r="E453" s="136" t="s">
        <v>217</v>
      </c>
      <c r="F453" s="136" t="s">
        <v>216</v>
      </c>
      <c r="G453" s="136" t="s">
        <v>38</v>
      </c>
      <c r="H453" s="162" t="s">
        <v>780</v>
      </c>
    </row>
    <row r="454" spans="1:8">
      <c r="A454" s="162" t="s">
        <v>781</v>
      </c>
      <c r="B454" s="162" t="s">
        <v>772</v>
      </c>
      <c r="C454" s="162" t="s">
        <v>776</v>
      </c>
      <c r="D454" s="161">
        <v>10034.99</v>
      </c>
      <c r="E454" s="136" t="s">
        <v>219</v>
      </c>
      <c r="F454" s="136" t="s">
        <v>110</v>
      </c>
      <c r="G454" s="136" t="s">
        <v>38</v>
      </c>
      <c r="H454" s="162" t="s">
        <v>780</v>
      </c>
    </row>
    <row r="455" spans="1:8">
      <c r="A455" s="162" t="s">
        <v>781</v>
      </c>
      <c r="B455" s="162" t="s">
        <v>772</v>
      </c>
      <c r="C455" s="162" t="s">
        <v>783</v>
      </c>
      <c r="D455" s="161">
        <v>10037.76</v>
      </c>
      <c r="E455" s="136" t="s">
        <v>45</v>
      </c>
      <c r="F455" s="136" t="s">
        <v>221</v>
      </c>
      <c r="G455" s="136" t="s">
        <v>38</v>
      </c>
      <c r="H455" s="162" t="s">
        <v>778</v>
      </c>
    </row>
    <row r="456" spans="1:8">
      <c r="A456" s="162" t="s">
        <v>786</v>
      </c>
      <c r="B456" s="152" t="s">
        <v>772</v>
      </c>
      <c r="C456" s="152" t="s">
        <v>773</v>
      </c>
      <c r="D456" s="161">
        <v>10046.07</v>
      </c>
      <c r="E456" s="136" t="s">
        <v>227</v>
      </c>
      <c r="F456" s="136" t="s">
        <v>226</v>
      </c>
      <c r="G456" s="136" t="s">
        <v>38</v>
      </c>
      <c r="H456" s="152" t="s">
        <v>774</v>
      </c>
    </row>
    <row r="457" spans="1:8">
      <c r="A457" s="162" t="s">
        <v>779</v>
      </c>
      <c r="B457" s="152" t="s">
        <v>775</v>
      </c>
      <c r="C457" s="152" t="s">
        <v>776</v>
      </c>
      <c r="D457" s="161">
        <v>10048.84</v>
      </c>
      <c r="E457" s="136" t="s">
        <v>230</v>
      </c>
      <c r="F457" s="136" t="s">
        <v>229</v>
      </c>
      <c r="G457" s="136" t="s">
        <v>38</v>
      </c>
      <c r="H457" s="152" t="s">
        <v>777</v>
      </c>
    </row>
    <row r="458" spans="1:8">
      <c r="A458" s="162" t="s">
        <v>779</v>
      </c>
      <c r="B458" s="152" t="s">
        <v>772</v>
      </c>
      <c r="C458" s="152" t="s">
        <v>773</v>
      </c>
      <c r="D458" s="161">
        <v>10051.609999999999</v>
      </c>
      <c r="E458" s="136" t="s">
        <v>232</v>
      </c>
      <c r="F458" s="136" t="s">
        <v>110</v>
      </c>
      <c r="G458" s="136" t="s">
        <v>38</v>
      </c>
      <c r="H458" s="152" t="s">
        <v>774</v>
      </c>
    </row>
    <row r="459" spans="1:8">
      <c r="A459" s="162" t="s">
        <v>787</v>
      </c>
      <c r="B459" s="152" t="s">
        <v>772</v>
      </c>
      <c r="C459" s="152" t="s">
        <v>773</v>
      </c>
      <c r="D459" s="161">
        <v>10054.379999999999</v>
      </c>
      <c r="E459" s="136" t="s">
        <v>234</v>
      </c>
      <c r="F459" s="136" t="s">
        <v>110</v>
      </c>
      <c r="G459" s="136" t="s">
        <v>38</v>
      </c>
      <c r="H459" s="152" t="s">
        <v>778</v>
      </c>
    </row>
    <row r="460" spans="1:8">
      <c r="A460" s="162" t="s">
        <v>787</v>
      </c>
      <c r="B460" s="152" t="s">
        <v>775</v>
      </c>
      <c r="C460" s="152" t="s">
        <v>776</v>
      </c>
      <c r="D460" s="161">
        <v>10057.15</v>
      </c>
      <c r="E460" s="136" t="s">
        <v>236</v>
      </c>
      <c r="F460" s="136" t="s">
        <v>79</v>
      </c>
      <c r="G460" s="136" t="s">
        <v>38</v>
      </c>
      <c r="H460" s="152" t="s">
        <v>778</v>
      </c>
    </row>
    <row r="461" spans="1:8">
      <c r="A461" s="162" t="s">
        <v>781</v>
      </c>
      <c r="B461" s="162" t="s">
        <v>775</v>
      </c>
      <c r="C461" s="162" t="s">
        <v>782</v>
      </c>
      <c r="D461" s="161">
        <v>10076.539999999999</v>
      </c>
      <c r="E461" s="136" t="s">
        <v>166</v>
      </c>
      <c r="F461" s="136" t="s">
        <v>254</v>
      </c>
      <c r="G461" s="136" t="s">
        <v>38</v>
      </c>
      <c r="H461" s="162" t="s">
        <v>780</v>
      </c>
    </row>
    <row r="462" spans="1:8">
      <c r="A462" s="162" t="s">
        <v>787</v>
      </c>
      <c r="B462" s="162" t="s">
        <v>772</v>
      </c>
      <c r="C462" s="162" t="s">
        <v>776</v>
      </c>
      <c r="D462" s="161">
        <v>10079.31</v>
      </c>
      <c r="E462" s="136" t="s">
        <v>257</v>
      </c>
      <c r="F462" s="136" t="s">
        <v>256</v>
      </c>
      <c r="G462" s="136" t="s">
        <v>38</v>
      </c>
      <c r="H462" s="162" t="s">
        <v>780</v>
      </c>
    </row>
    <row r="463" spans="1:8">
      <c r="A463" s="162" t="s">
        <v>781</v>
      </c>
      <c r="B463" s="162" t="s">
        <v>775</v>
      </c>
      <c r="C463" s="162" t="s">
        <v>782</v>
      </c>
      <c r="D463" s="161">
        <v>10087.619999999999</v>
      </c>
      <c r="E463" s="136" t="s">
        <v>264</v>
      </c>
      <c r="F463" s="136" t="s">
        <v>263</v>
      </c>
      <c r="G463" s="136" t="s">
        <v>38</v>
      </c>
      <c r="H463" s="162" t="s">
        <v>778</v>
      </c>
    </row>
    <row r="464" spans="1:8">
      <c r="A464" s="162" t="s">
        <v>786</v>
      </c>
      <c r="B464" s="162" t="s">
        <v>775</v>
      </c>
      <c r="C464" s="162" t="s">
        <v>782</v>
      </c>
      <c r="D464" s="161">
        <v>10093.16</v>
      </c>
      <c r="E464" s="136" t="s">
        <v>45</v>
      </c>
      <c r="F464" s="136" t="s">
        <v>269</v>
      </c>
      <c r="G464" s="136" t="s">
        <v>38</v>
      </c>
      <c r="H464" s="162" t="s">
        <v>780</v>
      </c>
    </row>
    <row r="465" spans="1:8">
      <c r="A465" s="162" t="s">
        <v>786</v>
      </c>
      <c r="B465" s="162" t="s">
        <v>772</v>
      </c>
      <c r="C465" s="162" t="s">
        <v>776</v>
      </c>
      <c r="D465" s="161">
        <v>10095.93</v>
      </c>
      <c r="E465" s="136" t="s">
        <v>37</v>
      </c>
      <c r="F465" s="136" t="s">
        <v>271</v>
      </c>
      <c r="G465" s="136" t="s">
        <v>38</v>
      </c>
      <c r="H465" s="162" t="s">
        <v>780</v>
      </c>
    </row>
    <row r="466" spans="1:8">
      <c r="A466" s="162" t="s">
        <v>786</v>
      </c>
      <c r="B466" s="162" t="s">
        <v>772</v>
      </c>
      <c r="C466" s="162" t="s">
        <v>783</v>
      </c>
      <c r="D466" s="161">
        <v>10098.699999999999</v>
      </c>
      <c r="E466" s="136" t="s">
        <v>45</v>
      </c>
      <c r="F466" s="136" t="s">
        <v>273</v>
      </c>
      <c r="G466" s="136" t="s">
        <v>38</v>
      </c>
      <c r="H466" s="162" t="s">
        <v>778</v>
      </c>
    </row>
    <row r="467" spans="1:8">
      <c r="A467" s="162" t="s">
        <v>787</v>
      </c>
      <c r="B467" s="162" t="s">
        <v>775</v>
      </c>
      <c r="C467" s="162" t="s">
        <v>782</v>
      </c>
      <c r="D467" s="161">
        <v>10101.469999999999</v>
      </c>
      <c r="E467" s="136" t="s">
        <v>209</v>
      </c>
      <c r="F467" s="136" t="s">
        <v>275</v>
      </c>
      <c r="G467" s="136" t="s">
        <v>38</v>
      </c>
      <c r="H467" s="162" t="s">
        <v>780</v>
      </c>
    </row>
    <row r="468" spans="1:8">
      <c r="A468" s="162" t="s">
        <v>787</v>
      </c>
      <c r="B468" s="162" t="s">
        <v>772</v>
      </c>
      <c r="C468" s="162" t="s">
        <v>776</v>
      </c>
      <c r="D468" s="161">
        <v>10104.24</v>
      </c>
      <c r="E468" s="136" t="s">
        <v>45</v>
      </c>
      <c r="F468" s="136" t="s">
        <v>277</v>
      </c>
      <c r="G468" s="136" t="s">
        <v>38</v>
      </c>
      <c r="H468" s="162" t="s">
        <v>780</v>
      </c>
    </row>
    <row r="469" spans="1:8">
      <c r="A469" s="162" t="s">
        <v>787</v>
      </c>
      <c r="B469" s="152" t="s">
        <v>772</v>
      </c>
      <c r="C469" s="152" t="s">
        <v>773</v>
      </c>
      <c r="D469" s="161">
        <v>10107.01</v>
      </c>
      <c r="E469" s="136" t="s">
        <v>113</v>
      </c>
      <c r="F469" s="136" t="s">
        <v>279</v>
      </c>
      <c r="G469" s="136" t="s">
        <v>38</v>
      </c>
      <c r="H469" s="152" t="s">
        <v>774</v>
      </c>
    </row>
    <row r="470" spans="1:8">
      <c r="A470" s="162" t="s">
        <v>789</v>
      </c>
      <c r="B470" s="152" t="s">
        <v>772</v>
      </c>
      <c r="C470" s="152" t="s">
        <v>776</v>
      </c>
      <c r="D470" s="161">
        <v>10115.32</v>
      </c>
      <c r="E470" s="136" t="s">
        <v>82</v>
      </c>
      <c r="F470" s="136" t="s">
        <v>286</v>
      </c>
      <c r="G470" s="136" t="s">
        <v>38</v>
      </c>
      <c r="H470" s="152" t="s">
        <v>780</v>
      </c>
    </row>
    <row r="471" spans="1:8">
      <c r="A471" s="162" t="s">
        <v>790</v>
      </c>
      <c r="B471" s="152" t="s">
        <v>772</v>
      </c>
      <c r="C471" s="152" t="s">
        <v>776</v>
      </c>
      <c r="D471" s="161">
        <v>10118.09</v>
      </c>
      <c r="E471" s="136" t="s">
        <v>45</v>
      </c>
      <c r="F471" s="136" t="s">
        <v>288</v>
      </c>
      <c r="G471" s="136" t="s">
        <v>38</v>
      </c>
      <c r="H471" s="152" t="s">
        <v>774</v>
      </c>
    </row>
    <row r="472" spans="1:8">
      <c r="A472" s="162" t="s">
        <v>787</v>
      </c>
      <c r="B472" s="162" t="s">
        <v>772</v>
      </c>
      <c r="C472" s="162" t="s">
        <v>782</v>
      </c>
      <c r="D472" s="161">
        <v>10123.629999999999</v>
      </c>
      <c r="E472" s="136" t="s">
        <v>294</v>
      </c>
      <c r="F472" s="136" t="s">
        <v>293</v>
      </c>
      <c r="G472" s="136" t="s">
        <v>38</v>
      </c>
      <c r="H472" s="162" t="s">
        <v>774</v>
      </c>
    </row>
    <row r="473" spans="1:8">
      <c r="A473" s="162" t="s">
        <v>784</v>
      </c>
      <c r="B473" s="162" t="s">
        <v>775</v>
      </c>
      <c r="C473" s="162" t="s">
        <v>782</v>
      </c>
      <c r="D473" s="161">
        <v>10126.4</v>
      </c>
      <c r="E473" s="136" t="s">
        <v>45</v>
      </c>
      <c r="F473" s="136" t="s">
        <v>296</v>
      </c>
      <c r="G473" s="136" t="s">
        <v>38</v>
      </c>
      <c r="H473" s="162" t="s">
        <v>778</v>
      </c>
    </row>
    <row r="474" spans="1:8">
      <c r="A474" s="162" t="s">
        <v>785</v>
      </c>
      <c r="B474" s="162" t="s">
        <v>772</v>
      </c>
      <c r="C474" s="162" t="s">
        <v>783</v>
      </c>
      <c r="D474" s="161">
        <v>10129.17</v>
      </c>
      <c r="E474" s="136" t="s">
        <v>37</v>
      </c>
      <c r="F474" s="136" t="s">
        <v>298</v>
      </c>
      <c r="G474" s="136" t="s">
        <v>38</v>
      </c>
      <c r="H474" s="162" t="s">
        <v>778</v>
      </c>
    </row>
    <row r="475" spans="1:8">
      <c r="A475" s="162" t="s">
        <v>786</v>
      </c>
      <c r="B475" s="162" t="s">
        <v>772</v>
      </c>
      <c r="C475" s="162" t="s">
        <v>776</v>
      </c>
      <c r="D475" s="161">
        <v>10134.709999999999</v>
      </c>
      <c r="E475" s="136" t="s">
        <v>66</v>
      </c>
      <c r="F475" s="136" t="s">
        <v>302</v>
      </c>
      <c r="G475" s="136" t="s">
        <v>38</v>
      </c>
      <c r="H475" s="162" t="s">
        <v>780</v>
      </c>
    </row>
    <row r="476" spans="1:8">
      <c r="A476" s="162" t="s">
        <v>771</v>
      </c>
      <c r="B476" s="162" t="s">
        <v>772</v>
      </c>
      <c r="C476" s="162" t="s">
        <v>783</v>
      </c>
      <c r="D476" s="161">
        <v>10137.48</v>
      </c>
      <c r="E476" s="136" t="s">
        <v>45</v>
      </c>
      <c r="F476" s="136" t="s">
        <v>44</v>
      </c>
      <c r="G476" s="136" t="s">
        <v>38</v>
      </c>
      <c r="H476" s="162" t="s">
        <v>778</v>
      </c>
    </row>
    <row r="477" spans="1:8">
      <c r="A477" s="162" t="s">
        <v>792</v>
      </c>
      <c r="B477" s="162" t="s">
        <v>772</v>
      </c>
      <c r="C477" s="162" t="s">
        <v>776</v>
      </c>
      <c r="D477" s="161">
        <v>10143.02</v>
      </c>
      <c r="E477" s="136" t="s">
        <v>309</v>
      </c>
      <c r="F477" s="136" t="s">
        <v>308</v>
      </c>
      <c r="G477" s="136" t="s">
        <v>38</v>
      </c>
      <c r="H477" s="162" t="s">
        <v>780</v>
      </c>
    </row>
    <row r="478" spans="1:8">
      <c r="A478" s="162" t="s">
        <v>790</v>
      </c>
      <c r="B478" s="152" t="s">
        <v>772</v>
      </c>
      <c r="C478" s="152" t="s">
        <v>773</v>
      </c>
      <c r="D478" s="161">
        <v>10151.33</v>
      </c>
      <c r="E478" s="136" t="s">
        <v>317</v>
      </c>
      <c r="F478" s="136" t="s">
        <v>316</v>
      </c>
      <c r="G478" s="136" t="s">
        <v>38</v>
      </c>
      <c r="H478" s="152" t="s">
        <v>774</v>
      </c>
    </row>
    <row r="479" spans="1:8">
      <c r="A479" s="162" t="s">
        <v>791</v>
      </c>
      <c r="B479" s="152" t="s">
        <v>772</v>
      </c>
      <c r="C479" s="152" t="s">
        <v>773</v>
      </c>
      <c r="D479" s="161">
        <v>10154.1</v>
      </c>
      <c r="E479" s="136" t="s">
        <v>104</v>
      </c>
      <c r="F479" s="136" t="s">
        <v>110</v>
      </c>
      <c r="G479" s="136" t="s">
        <v>38</v>
      </c>
      <c r="H479" s="152" t="s">
        <v>778</v>
      </c>
    </row>
    <row r="480" spans="1:8">
      <c r="A480" s="162" t="s">
        <v>787</v>
      </c>
      <c r="B480" s="152" t="s">
        <v>775</v>
      </c>
      <c r="C480" s="152" t="s">
        <v>776</v>
      </c>
      <c r="D480" s="161">
        <v>10156.869999999999</v>
      </c>
      <c r="E480" s="136" t="s">
        <v>45</v>
      </c>
      <c r="F480" s="136" t="s">
        <v>320</v>
      </c>
      <c r="G480" s="136" t="s">
        <v>38</v>
      </c>
      <c r="H480" s="152" t="s">
        <v>778</v>
      </c>
    </row>
    <row r="481" spans="1:8">
      <c r="A481" s="162" t="s">
        <v>784</v>
      </c>
      <c r="B481" s="152" t="s">
        <v>772</v>
      </c>
      <c r="C481" s="152" t="s">
        <v>773</v>
      </c>
      <c r="D481" s="161">
        <v>10159.64</v>
      </c>
      <c r="E481" s="136" t="s">
        <v>323</v>
      </c>
      <c r="F481" s="136" t="s">
        <v>322</v>
      </c>
      <c r="G481" s="136" t="s">
        <v>38</v>
      </c>
      <c r="H481" s="152" t="s">
        <v>778</v>
      </c>
    </row>
    <row r="482" spans="1:8">
      <c r="A482" s="162" t="s">
        <v>785</v>
      </c>
      <c r="B482" s="162" t="s">
        <v>775</v>
      </c>
      <c r="C482" s="162" t="s">
        <v>782</v>
      </c>
      <c r="D482" s="161">
        <v>10162.41</v>
      </c>
      <c r="E482" s="136" t="s">
        <v>45</v>
      </c>
      <c r="F482" s="136" t="s">
        <v>325</v>
      </c>
      <c r="G482" s="136" t="s">
        <v>38</v>
      </c>
      <c r="H482" s="162" t="s">
        <v>778</v>
      </c>
    </row>
    <row r="483" spans="1:8">
      <c r="A483" s="162" t="s">
        <v>781</v>
      </c>
      <c r="B483" s="162" t="s">
        <v>772</v>
      </c>
      <c r="C483" s="162" t="s">
        <v>783</v>
      </c>
      <c r="D483" s="161">
        <v>10165.18</v>
      </c>
      <c r="E483" s="136" t="s">
        <v>45</v>
      </c>
      <c r="F483" s="136" t="s">
        <v>296</v>
      </c>
      <c r="G483" s="136" t="s">
        <v>38</v>
      </c>
      <c r="H483" s="162" t="s">
        <v>778</v>
      </c>
    </row>
    <row r="484" spans="1:8">
      <c r="A484" s="162" t="s">
        <v>786</v>
      </c>
      <c r="B484" s="162" t="s">
        <v>775</v>
      </c>
      <c r="C484" s="162" t="s">
        <v>782</v>
      </c>
      <c r="D484" s="161">
        <v>10167.949999999999</v>
      </c>
      <c r="E484" s="136" t="s">
        <v>328</v>
      </c>
      <c r="F484" s="136" t="s">
        <v>110</v>
      </c>
      <c r="G484" s="136" t="s">
        <v>38</v>
      </c>
      <c r="H484" s="162" t="s">
        <v>780</v>
      </c>
    </row>
    <row r="485" spans="1:8">
      <c r="A485" s="162" t="s">
        <v>771</v>
      </c>
      <c r="B485" s="162" t="s">
        <v>772</v>
      </c>
      <c r="C485" s="162" t="s">
        <v>776</v>
      </c>
      <c r="D485" s="161">
        <v>10170.719999999999</v>
      </c>
      <c r="E485" s="136" t="s">
        <v>328</v>
      </c>
      <c r="F485" s="136" t="s">
        <v>110</v>
      </c>
      <c r="G485" s="136" t="s">
        <v>38</v>
      </c>
      <c r="H485" s="162" t="s">
        <v>780</v>
      </c>
    </row>
    <row r="486" spans="1:8">
      <c r="A486" s="162" t="s">
        <v>779</v>
      </c>
      <c r="B486" s="162" t="s">
        <v>772</v>
      </c>
      <c r="C486" s="162" t="s">
        <v>783</v>
      </c>
      <c r="D486" s="161">
        <v>10173.49</v>
      </c>
      <c r="E486" s="136" t="s">
        <v>331</v>
      </c>
      <c r="F486" s="136" t="s">
        <v>110</v>
      </c>
      <c r="G486" s="136" t="s">
        <v>38</v>
      </c>
      <c r="H486" s="162" t="s">
        <v>778</v>
      </c>
    </row>
    <row r="487" spans="1:8">
      <c r="A487" s="162" t="s">
        <v>792</v>
      </c>
      <c r="B487" s="162" t="s">
        <v>775</v>
      </c>
      <c r="C487" s="162" t="s">
        <v>782</v>
      </c>
      <c r="D487" s="161">
        <v>10176.26</v>
      </c>
      <c r="E487" s="136" t="s">
        <v>333</v>
      </c>
      <c r="F487" s="136" t="s">
        <v>110</v>
      </c>
      <c r="G487" s="136" t="s">
        <v>38</v>
      </c>
      <c r="H487" s="162" t="s">
        <v>780</v>
      </c>
    </row>
    <row r="488" spans="1:8">
      <c r="A488" s="162" t="s">
        <v>787</v>
      </c>
      <c r="B488" s="152" t="s">
        <v>775</v>
      </c>
      <c r="C488" s="152" t="s">
        <v>776</v>
      </c>
      <c r="D488" s="161">
        <v>10190.109999999999</v>
      </c>
      <c r="E488" s="136" t="s">
        <v>205</v>
      </c>
      <c r="F488" s="136" t="s">
        <v>346</v>
      </c>
      <c r="G488" s="136" t="s">
        <v>38</v>
      </c>
      <c r="H488" s="152" t="s">
        <v>780</v>
      </c>
    </row>
    <row r="489" spans="1:8">
      <c r="A489" s="162" t="s">
        <v>784</v>
      </c>
      <c r="B489" s="162" t="s">
        <v>772</v>
      </c>
      <c r="C489" s="162" t="s">
        <v>782</v>
      </c>
      <c r="D489" s="161">
        <v>10192.879999999999</v>
      </c>
      <c r="E489" s="136" t="s">
        <v>205</v>
      </c>
      <c r="F489" s="136" t="s">
        <v>348</v>
      </c>
      <c r="G489" s="136" t="s">
        <v>38</v>
      </c>
      <c r="H489" s="162" t="s">
        <v>774</v>
      </c>
    </row>
    <row r="490" spans="1:8">
      <c r="A490" s="162" t="s">
        <v>785</v>
      </c>
      <c r="B490" s="162" t="s">
        <v>775</v>
      </c>
      <c r="C490" s="162" t="s">
        <v>782</v>
      </c>
      <c r="D490" s="161">
        <v>10195.65</v>
      </c>
      <c r="E490" s="136" t="s">
        <v>205</v>
      </c>
      <c r="F490" s="136" t="s">
        <v>97</v>
      </c>
      <c r="G490" s="136" t="s">
        <v>38</v>
      </c>
      <c r="H490" s="162" t="s">
        <v>778</v>
      </c>
    </row>
    <row r="491" spans="1:8">
      <c r="A491" s="162" t="s">
        <v>781</v>
      </c>
      <c r="B491" s="162" t="s">
        <v>772</v>
      </c>
      <c r="C491" s="162" t="s">
        <v>783</v>
      </c>
      <c r="D491" s="161">
        <v>10198.42</v>
      </c>
      <c r="E491" s="136" t="s">
        <v>205</v>
      </c>
      <c r="F491" s="136" t="s">
        <v>351</v>
      </c>
      <c r="G491" s="136" t="s">
        <v>38</v>
      </c>
      <c r="H491" s="162" t="s">
        <v>778</v>
      </c>
    </row>
    <row r="492" spans="1:8">
      <c r="A492" s="162" t="s">
        <v>786</v>
      </c>
      <c r="B492" s="162" t="s">
        <v>775</v>
      </c>
      <c r="C492" s="162" t="s">
        <v>782</v>
      </c>
      <c r="D492" s="161">
        <v>10201.19</v>
      </c>
      <c r="E492" s="136" t="s">
        <v>82</v>
      </c>
      <c r="F492" s="136" t="s">
        <v>353</v>
      </c>
      <c r="G492" s="136" t="s">
        <v>38</v>
      </c>
      <c r="H492" s="162" t="s">
        <v>780</v>
      </c>
    </row>
    <row r="493" spans="1:8">
      <c r="A493" s="162" t="s">
        <v>781</v>
      </c>
      <c r="B493" s="162" t="s">
        <v>772</v>
      </c>
      <c r="C493" s="162" t="s">
        <v>783</v>
      </c>
      <c r="D493" s="161">
        <v>10206.73</v>
      </c>
      <c r="E493" s="136" t="s">
        <v>359</v>
      </c>
      <c r="F493" s="136" t="s">
        <v>358</v>
      </c>
      <c r="G493" s="136" t="s">
        <v>38</v>
      </c>
      <c r="H493" s="162" t="s">
        <v>778</v>
      </c>
    </row>
    <row r="494" spans="1:8">
      <c r="A494" s="162" t="s">
        <v>781</v>
      </c>
      <c r="B494" s="162" t="s">
        <v>772</v>
      </c>
      <c r="C494" s="162" t="s">
        <v>776</v>
      </c>
      <c r="D494" s="161">
        <v>10212.27</v>
      </c>
      <c r="E494" s="136" t="s">
        <v>359</v>
      </c>
      <c r="F494" s="136" t="s">
        <v>363</v>
      </c>
      <c r="G494" s="136" t="s">
        <v>38</v>
      </c>
      <c r="H494" s="162" t="s">
        <v>780</v>
      </c>
    </row>
    <row r="495" spans="1:8">
      <c r="A495" s="162" t="s">
        <v>781</v>
      </c>
      <c r="B495" s="152" t="s">
        <v>772</v>
      </c>
      <c r="C495" s="152" t="s">
        <v>773</v>
      </c>
      <c r="D495" s="161">
        <v>10215.039999999999</v>
      </c>
      <c r="E495" s="136" t="s">
        <v>66</v>
      </c>
      <c r="F495" s="136" t="s">
        <v>365</v>
      </c>
      <c r="G495" s="136" t="s">
        <v>38</v>
      </c>
      <c r="H495" s="152" t="s">
        <v>774</v>
      </c>
    </row>
    <row r="496" spans="1:8">
      <c r="A496" s="162" t="s">
        <v>781</v>
      </c>
      <c r="B496" s="152" t="s">
        <v>775</v>
      </c>
      <c r="C496" s="152" t="s">
        <v>776</v>
      </c>
      <c r="D496" s="161">
        <v>10217.81</v>
      </c>
      <c r="E496" s="136" t="s">
        <v>368</v>
      </c>
      <c r="F496" s="136" t="s">
        <v>367</v>
      </c>
      <c r="G496" s="136" t="s">
        <v>38</v>
      </c>
      <c r="H496" s="152" t="s">
        <v>777</v>
      </c>
    </row>
    <row r="497" spans="1:8">
      <c r="A497" s="162" t="s">
        <v>779</v>
      </c>
      <c r="B497" s="162" t="s">
        <v>772</v>
      </c>
      <c r="C497" s="162" t="s">
        <v>776</v>
      </c>
      <c r="D497" s="161">
        <v>11186.35</v>
      </c>
      <c r="E497" s="136" t="s">
        <v>45</v>
      </c>
      <c r="F497" s="136" t="s">
        <v>390</v>
      </c>
      <c r="G497" s="136" t="s">
        <v>38</v>
      </c>
      <c r="H497" s="162" t="s">
        <v>780</v>
      </c>
    </row>
    <row r="498" spans="1:8">
      <c r="A498" s="162" t="s">
        <v>791</v>
      </c>
      <c r="B498" s="152" t="s">
        <v>775</v>
      </c>
      <c r="C498" s="152" t="s">
        <v>776</v>
      </c>
      <c r="D498" s="161">
        <v>11935.35</v>
      </c>
      <c r="E498" s="136" t="s">
        <v>402</v>
      </c>
      <c r="F498" s="136" t="s">
        <v>110</v>
      </c>
      <c r="G498" s="136" t="s">
        <v>38</v>
      </c>
      <c r="H498" s="152" t="s">
        <v>780</v>
      </c>
    </row>
    <row r="499" spans="1:8">
      <c r="A499" s="162" t="s">
        <v>787</v>
      </c>
      <c r="B499" s="162" t="s">
        <v>772</v>
      </c>
      <c r="C499" s="162" t="s">
        <v>782</v>
      </c>
      <c r="D499" s="161">
        <v>9369.5</v>
      </c>
      <c r="E499" s="136" t="s">
        <v>402</v>
      </c>
      <c r="F499" s="136" t="s">
        <v>110</v>
      </c>
      <c r="G499" s="136" t="s">
        <v>38</v>
      </c>
      <c r="H499" s="162" t="s">
        <v>774</v>
      </c>
    </row>
    <row r="500" spans="1:8">
      <c r="A500" s="162" t="s">
        <v>792</v>
      </c>
      <c r="B500" s="162" t="s">
        <v>775</v>
      </c>
      <c r="C500" s="162" t="s">
        <v>782</v>
      </c>
      <c r="D500" s="161">
        <v>9756</v>
      </c>
      <c r="E500" s="136" t="s">
        <v>135</v>
      </c>
      <c r="F500" s="136" t="s">
        <v>429</v>
      </c>
      <c r="G500" s="136" t="s">
        <v>38</v>
      </c>
      <c r="H500" s="162" t="s">
        <v>780</v>
      </c>
    </row>
    <row r="501" spans="1:8">
      <c r="A501" s="162" t="s">
        <v>789</v>
      </c>
      <c r="B501" s="152" t="s">
        <v>775</v>
      </c>
      <c r="C501" s="152" t="s">
        <v>773</v>
      </c>
      <c r="D501" s="161">
        <v>9910.6</v>
      </c>
      <c r="E501" s="136" t="s">
        <v>45</v>
      </c>
      <c r="F501" s="136" t="s">
        <v>97</v>
      </c>
      <c r="G501" s="136" t="s">
        <v>38</v>
      </c>
      <c r="H501" s="152" t="s">
        <v>778</v>
      </c>
    </row>
    <row r="502" spans="1:8">
      <c r="A502" s="162" t="s">
        <v>791</v>
      </c>
      <c r="B502" s="152" t="s">
        <v>772</v>
      </c>
      <c r="C502" s="152" t="s">
        <v>776</v>
      </c>
      <c r="D502" s="161">
        <v>9990.67</v>
      </c>
      <c r="E502" s="136" t="s">
        <v>45</v>
      </c>
      <c r="F502" s="136" t="s">
        <v>435</v>
      </c>
      <c r="G502" s="136" t="s">
        <v>38</v>
      </c>
      <c r="H502" s="152" t="s">
        <v>774</v>
      </c>
    </row>
    <row r="503" spans="1:8">
      <c r="A503" s="162" t="s">
        <v>787</v>
      </c>
      <c r="B503" s="152" t="s">
        <v>775</v>
      </c>
      <c r="C503" s="152" t="s">
        <v>776</v>
      </c>
      <c r="D503" s="161">
        <v>9993.44</v>
      </c>
      <c r="E503" s="136" t="s">
        <v>45</v>
      </c>
      <c r="F503" s="136" t="s">
        <v>437</v>
      </c>
      <c r="G503" s="136" t="s">
        <v>38</v>
      </c>
      <c r="H503" s="152" t="s">
        <v>780</v>
      </c>
    </row>
    <row r="504" spans="1:8">
      <c r="A504" s="162" t="s">
        <v>785</v>
      </c>
      <c r="B504" s="162" t="s">
        <v>775</v>
      </c>
      <c r="C504" s="162" t="s">
        <v>782</v>
      </c>
      <c r="D504" s="161">
        <v>9998.98</v>
      </c>
      <c r="E504" s="136" t="s">
        <v>73</v>
      </c>
      <c r="F504" s="136" t="s">
        <v>441</v>
      </c>
      <c r="G504" s="136" t="s">
        <v>38</v>
      </c>
      <c r="H504" s="162" t="s">
        <v>778</v>
      </c>
    </row>
    <row r="505" spans="1:8">
      <c r="A505" s="162" t="s">
        <v>786</v>
      </c>
      <c r="B505" s="162" t="s">
        <v>775</v>
      </c>
      <c r="C505" s="162" t="s">
        <v>782</v>
      </c>
      <c r="D505" s="161">
        <v>10004.52</v>
      </c>
      <c r="E505" s="136" t="s">
        <v>73</v>
      </c>
      <c r="F505" s="136" t="s">
        <v>445</v>
      </c>
      <c r="G505" s="136" t="s">
        <v>38</v>
      </c>
      <c r="H505" s="162" t="s">
        <v>780</v>
      </c>
    </row>
    <row r="506" spans="1:8">
      <c r="A506" s="162" t="s">
        <v>781</v>
      </c>
      <c r="B506" s="162" t="s">
        <v>772</v>
      </c>
      <c r="C506" s="162" t="s">
        <v>783</v>
      </c>
      <c r="D506" s="161">
        <v>10010.06</v>
      </c>
      <c r="E506" s="136" t="s">
        <v>45</v>
      </c>
      <c r="F506" s="136" t="s">
        <v>448</v>
      </c>
      <c r="G506" s="136" t="s">
        <v>38</v>
      </c>
      <c r="H506" s="162" t="s">
        <v>778</v>
      </c>
    </row>
    <row r="507" spans="1:8">
      <c r="A507" s="162" t="s">
        <v>781</v>
      </c>
      <c r="B507" s="162" t="s">
        <v>775</v>
      </c>
      <c r="C507" s="162" t="s">
        <v>782</v>
      </c>
      <c r="D507" s="161">
        <v>10012.83</v>
      </c>
      <c r="E507" s="136" t="s">
        <v>45</v>
      </c>
      <c r="F507" s="136" t="s">
        <v>450</v>
      </c>
      <c r="G507" s="136" t="s">
        <v>38</v>
      </c>
      <c r="H507" s="162" t="s">
        <v>780</v>
      </c>
    </row>
    <row r="508" spans="1:8">
      <c r="A508" s="162" t="s">
        <v>781</v>
      </c>
      <c r="B508" s="152" t="s">
        <v>775</v>
      </c>
      <c r="C508" s="152" t="s">
        <v>776</v>
      </c>
      <c r="D508" s="161">
        <v>10021.14</v>
      </c>
      <c r="E508" s="136" t="s">
        <v>37</v>
      </c>
      <c r="F508" s="136" t="s">
        <v>455</v>
      </c>
      <c r="G508" s="136" t="s">
        <v>38</v>
      </c>
      <c r="H508" s="152" t="s">
        <v>777</v>
      </c>
    </row>
    <row r="509" spans="1:8">
      <c r="A509" s="162" t="s">
        <v>786</v>
      </c>
      <c r="B509" s="152" t="s">
        <v>772</v>
      </c>
      <c r="C509" s="152" t="s">
        <v>773</v>
      </c>
      <c r="D509" s="161">
        <v>10026.68</v>
      </c>
      <c r="E509" s="136" t="s">
        <v>460</v>
      </c>
      <c r="F509" s="136" t="s">
        <v>459</v>
      </c>
      <c r="G509" s="136" t="s">
        <v>38</v>
      </c>
      <c r="H509" s="152" t="s">
        <v>778</v>
      </c>
    </row>
    <row r="510" spans="1:8">
      <c r="A510" s="162" t="s">
        <v>786</v>
      </c>
      <c r="B510" s="152" t="s">
        <v>775</v>
      </c>
      <c r="C510" s="152" t="s">
        <v>776</v>
      </c>
      <c r="D510" s="161">
        <v>12149.35</v>
      </c>
      <c r="E510" s="136" t="s">
        <v>463</v>
      </c>
      <c r="F510" s="136" t="s">
        <v>462</v>
      </c>
      <c r="G510" s="136" t="s">
        <v>38</v>
      </c>
      <c r="H510" s="152" t="s">
        <v>778</v>
      </c>
    </row>
    <row r="511" spans="1:8">
      <c r="A511" s="162" t="s">
        <v>779</v>
      </c>
      <c r="B511" s="152" t="s">
        <v>772</v>
      </c>
      <c r="C511" s="152" t="s">
        <v>773</v>
      </c>
      <c r="D511" s="161">
        <v>12256.35</v>
      </c>
      <c r="E511" s="136" t="s">
        <v>234</v>
      </c>
      <c r="F511" s="136" t="s">
        <v>110</v>
      </c>
      <c r="G511" s="136" t="s">
        <v>38</v>
      </c>
      <c r="H511" s="152" t="s">
        <v>778</v>
      </c>
    </row>
    <row r="512" spans="1:8">
      <c r="A512" s="162" t="s">
        <v>787</v>
      </c>
      <c r="B512" s="162" t="s">
        <v>772</v>
      </c>
      <c r="C512" s="162" t="s">
        <v>783</v>
      </c>
      <c r="D512" s="161">
        <v>12470.35</v>
      </c>
      <c r="E512" s="136" t="s">
        <v>257</v>
      </c>
      <c r="F512" s="136" t="s">
        <v>467</v>
      </c>
      <c r="G512" s="136" t="s">
        <v>38</v>
      </c>
      <c r="H512" s="162" t="s">
        <v>778</v>
      </c>
    </row>
    <row r="513" spans="1:8">
      <c r="A513" s="162" t="s">
        <v>787</v>
      </c>
      <c r="B513" s="162" t="s">
        <v>775</v>
      </c>
      <c r="C513" s="162" t="s">
        <v>782</v>
      </c>
      <c r="D513" s="161">
        <v>12577.35</v>
      </c>
      <c r="E513" s="136" t="s">
        <v>37</v>
      </c>
      <c r="F513" s="136" t="s">
        <v>469</v>
      </c>
      <c r="G513" s="136" t="s">
        <v>38</v>
      </c>
      <c r="H513" s="162" t="s">
        <v>780</v>
      </c>
    </row>
    <row r="514" spans="1:8">
      <c r="A514" s="162" t="s">
        <v>786</v>
      </c>
      <c r="B514" s="152" t="s">
        <v>772</v>
      </c>
      <c r="C514" s="152" t="s">
        <v>773</v>
      </c>
      <c r="D514" s="161">
        <v>9446.7999999999993</v>
      </c>
      <c r="E514" s="136" t="s">
        <v>45</v>
      </c>
      <c r="F514" s="136" t="s">
        <v>480</v>
      </c>
      <c r="G514" s="136" t="s">
        <v>38</v>
      </c>
      <c r="H514" s="152" t="s">
        <v>774</v>
      </c>
    </row>
    <row r="515" spans="1:8">
      <c r="A515" s="162" t="s">
        <v>786</v>
      </c>
      <c r="B515" s="152" t="s">
        <v>772</v>
      </c>
      <c r="C515" s="152" t="s">
        <v>773</v>
      </c>
      <c r="D515" s="161">
        <v>9524.1</v>
      </c>
      <c r="E515" s="136" t="s">
        <v>45</v>
      </c>
      <c r="F515" s="136" t="s">
        <v>482</v>
      </c>
      <c r="G515" s="136" t="s">
        <v>38</v>
      </c>
      <c r="H515" s="152" t="s">
        <v>778</v>
      </c>
    </row>
    <row r="516" spans="1:8">
      <c r="A516" s="162" t="s">
        <v>779</v>
      </c>
      <c r="B516" s="152" t="s">
        <v>772</v>
      </c>
      <c r="C516" s="152" t="s">
        <v>773</v>
      </c>
      <c r="D516" s="161">
        <v>9678.7000000000007</v>
      </c>
      <c r="E516" s="136" t="s">
        <v>317</v>
      </c>
      <c r="F516" s="136" t="s">
        <v>108</v>
      </c>
      <c r="G516" s="136" t="s">
        <v>38</v>
      </c>
      <c r="H516" s="152" t="s">
        <v>778</v>
      </c>
    </row>
    <row r="517" spans="1:8">
      <c r="A517" s="162" t="s">
        <v>787</v>
      </c>
      <c r="B517" s="162" t="s">
        <v>772</v>
      </c>
      <c r="C517" s="162" t="s">
        <v>783</v>
      </c>
      <c r="D517" s="161">
        <v>9990.67</v>
      </c>
      <c r="E517" s="136" t="s">
        <v>82</v>
      </c>
      <c r="F517" s="136" t="s">
        <v>494</v>
      </c>
      <c r="G517" s="136" t="s">
        <v>38</v>
      </c>
      <c r="H517" s="162" t="s">
        <v>778</v>
      </c>
    </row>
    <row r="518" spans="1:8">
      <c r="A518" s="162" t="s">
        <v>786</v>
      </c>
      <c r="B518" s="152" t="s">
        <v>772</v>
      </c>
      <c r="C518" s="152" t="s">
        <v>773</v>
      </c>
      <c r="D518" s="161">
        <v>10010.06</v>
      </c>
      <c r="E518" s="136" t="s">
        <v>66</v>
      </c>
      <c r="F518" s="136" t="s">
        <v>499</v>
      </c>
      <c r="G518" s="136" t="s">
        <v>38</v>
      </c>
      <c r="H518" s="152" t="s">
        <v>774</v>
      </c>
    </row>
    <row r="519" spans="1:8">
      <c r="A519" s="162" t="s">
        <v>786</v>
      </c>
      <c r="B519" s="152" t="s">
        <v>772</v>
      </c>
      <c r="C519" s="152" t="s">
        <v>773</v>
      </c>
      <c r="D519" s="161">
        <v>10012.83</v>
      </c>
      <c r="E519" s="136" t="s">
        <v>502</v>
      </c>
      <c r="F519" s="136" t="s">
        <v>501</v>
      </c>
      <c r="G519" s="136" t="s">
        <v>38</v>
      </c>
      <c r="H519" s="152" t="s">
        <v>778</v>
      </c>
    </row>
    <row r="520" spans="1:8">
      <c r="A520" s="162" t="s">
        <v>779</v>
      </c>
      <c r="B520" s="152" t="s">
        <v>772</v>
      </c>
      <c r="C520" s="152" t="s">
        <v>773</v>
      </c>
      <c r="D520" s="161">
        <v>10018.369999999999</v>
      </c>
      <c r="E520" s="136" t="s">
        <v>177</v>
      </c>
      <c r="F520" s="136" t="s">
        <v>506</v>
      </c>
      <c r="G520" s="136" t="s">
        <v>38</v>
      </c>
      <c r="H520" s="152" t="s">
        <v>778</v>
      </c>
    </row>
    <row r="521" spans="1:8">
      <c r="A521" s="162" t="s">
        <v>779</v>
      </c>
      <c r="B521" s="162" t="s">
        <v>775</v>
      </c>
      <c r="C521" s="162" t="s">
        <v>782</v>
      </c>
      <c r="D521" s="161">
        <v>10021.14</v>
      </c>
      <c r="E521" s="136" t="s">
        <v>45</v>
      </c>
      <c r="F521" s="136" t="s">
        <v>508</v>
      </c>
      <c r="G521" s="136" t="s">
        <v>38</v>
      </c>
      <c r="H521" s="162" t="s">
        <v>778</v>
      </c>
    </row>
    <row r="522" spans="1:8">
      <c r="A522" s="162" t="s">
        <v>787</v>
      </c>
      <c r="B522" s="162" t="s">
        <v>772</v>
      </c>
      <c r="C522" s="162" t="s">
        <v>783</v>
      </c>
      <c r="D522" s="161">
        <v>10023.91</v>
      </c>
      <c r="E522" s="136" t="s">
        <v>511</v>
      </c>
      <c r="F522" s="136" t="s">
        <v>510</v>
      </c>
      <c r="G522" s="136" t="s">
        <v>38</v>
      </c>
      <c r="H522" s="162" t="s">
        <v>778</v>
      </c>
    </row>
    <row r="523" spans="1:8">
      <c r="A523" s="162" t="s">
        <v>787</v>
      </c>
      <c r="B523" s="162" t="s">
        <v>775</v>
      </c>
      <c r="C523" s="162" t="s">
        <v>782</v>
      </c>
      <c r="D523" s="161">
        <v>10026.68</v>
      </c>
      <c r="E523" s="136" t="s">
        <v>368</v>
      </c>
      <c r="F523" s="136" t="s">
        <v>513</v>
      </c>
      <c r="G523" s="136" t="s">
        <v>38</v>
      </c>
      <c r="H523" s="162" t="s">
        <v>780</v>
      </c>
    </row>
    <row r="524" spans="1:8">
      <c r="A524" s="162" t="s">
        <v>787</v>
      </c>
      <c r="B524" s="162" t="s">
        <v>772</v>
      </c>
      <c r="C524" s="162" t="s">
        <v>776</v>
      </c>
      <c r="D524" s="161">
        <v>12149.35</v>
      </c>
      <c r="E524" s="136" t="s">
        <v>45</v>
      </c>
      <c r="F524" s="136" t="s">
        <v>515</v>
      </c>
      <c r="G524" s="136" t="s">
        <v>38</v>
      </c>
      <c r="H524" s="162" t="s">
        <v>780</v>
      </c>
    </row>
    <row r="525" spans="1:8">
      <c r="A525" s="162" t="s">
        <v>785</v>
      </c>
      <c r="B525" s="162" t="s">
        <v>772</v>
      </c>
      <c r="C525" s="162" t="s">
        <v>776</v>
      </c>
      <c r="D525" s="161">
        <v>10010.06</v>
      </c>
      <c r="E525" s="136" t="s">
        <v>45</v>
      </c>
      <c r="F525" s="136" t="s">
        <v>534</v>
      </c>
      <c r="G525" s="136" t="s">
        <v>38</v>
      </c>
      <c r="H525" s="152" t="s">
        <v>777</v>
      </c>
    </row>
    <row r="526" spans="1:8">
      <c r="A526" s="152" t="s">
        <v>771</v>
      </c>
      <c r="B526" s="152" t="s">
        <v>772</v>
      </c>
      <c r="C526" s="152" t="s">
        <v>773</v>
      </c>
      <c r="D526" s="161">
        <v>9990.67</v>
      </c>
      <c r="E526" s="136" t="s">
        <v>135</v>
      </c>
      <c r="F526" s="136" t="s">
        <v>429</v>
      </c>
      <c r="G526" s="136" t="s">
        <v>38</v>
      </c>
      <c r="H526" s="152" t="s">
        <v>778</v>
      </c>
    </row>
    <row r="527" spans="1:8">
      <c r="A527" s="152" t="s">
        <v>779</v>
      </c>
      <c r="B527" s="152" t="s">
        <v>775</v>
      </c>
      <c r="C527" s="152" t="s">
        <v>776</v>
      </c>
      <c r="D527" s="161">
        <v>9993.44</v>
      </c>
      <c r="E527" s="136" t="s">
        <v>45</v>
      </c>
      <c r="F527" s="136" t="s">
        <v>542</v>
      </c>
      <c r="G527" s="136" t="s">
        <v>38</v>
      </c>
      <c r="H527" s="152" t="s">
        <v>777</v>
      </c>
    </row>
    <row r="528" spans="1:8">
      <c r="A528" s="152" t="s">
        <v>779</v>
      </c>
      <c r="B528" s="152" t="s">
        <v>775</v>
      </c>
      <c r="C528" s="152" t="s">
        <v>773</v>
      </c>
      <c r="D528" s="161">
        <v>10010.06</v>
      </c>
      <c r="E528" s="136" t="s">
        <v>502</v>
      </c>
      <c r="F528" s="136" t="s">
        <v>546</v>
      </c>
      <c r="G528" s="136" t="s">
        <v>38</v>
      </c>
      <c r="H528" s="152" t="s">
        <v>780</v>
      </c>
    </row>
    <row r="529" spans="1:8">
      <c r="A529" s="152" t="s">
        <v>779</v>
      </c>
      <c r="B529" s="152" t="s">
        <v>772</v>
      </c>
      <c r="C529" s="152" t="s">
        <v>776</v>
      </c>
      <c r="D529" s="161">
        <v>10012.83</v>
      </c>
      <c r="E529" s="136" t="s">
        <v>45</v>
      </c>
      <c r="F529" s="136" t="s">
        <v>548</v>
      </c>
      <c r="G529" s="136" t="s">
        <v>38</v>
      </c>
      <c r="H529" s="152" t="s">
        <v>774</v>
      </c>
    </row>
    <row r="530" spans="1:8">
      <c r="A530" s="162" t="s">
        <v>786</v>
      </c>
      <c r="B530" s="152" t="s">
        <v>772</v>
      </c>
      <c r="C530" s="152" t="s">
        <v>773</v>
      </c>
      <c r="D530" s="161">
        <v>10015.6</v>
      </c>
      <c r="E530" s="136" t="s">
        <v>45</v>
      </c>
      <c r="F530" s="136" t="s">
        <v>550</v>
      </c>
      <c r="G530" s="136" t="s">
        <v>38</v>
      </c>
      <c r="H530" s="152" t="s">
        <v>774</v>
      </c>
    </row>
    <row r="531" spans="1:8">
      <c r="A531" s="162" t="s">
        <v>786</v>
      </c>
      <c r="B531" s="152" t="s">
        <v>775</v>
      </c>
      <c r="C531" s="152" t="s">
        <v>776</v>
      </c>
      <c r="D531" s="161">
        <v>10021.14</v>
      </c>
      <c r="E531" s="136" t="s">
        <v>205</v>
      </c>
      <c r="F531" s="136" t="s">
        <v>97</v>
      </c>
      <c r="G531" s="136" t="s">
        <v>38</v>
      </c>
      <c r="H531" s="152" t="s">
        <v>778</v>
      </c>
    </row>
    <row r="532" spans="1:8">
      <c r="A532" s="162" t="s">
        <v>779</v>
      </c>
      <c r="B532" s="152" t="s">
        <v>772</v>
      </c>
      <c r="C532" s="152" t="s">
        <v>773</v>
      </c>
      <c r="D532" s="161">
        <v>10023.91</v>
      </c>
      <c r="E532" s="136" t="s">
        <v>45</v>
      </c>
      <c r="F532" s="136" t="s">
        <v>555</v>
      </c>
      <c r="G532" s="136" t="s">
        <v>38</v>
      </c>
      <c r="H532" s="152" t="s">
        <v>778</v>
      </c>
    </row>
    <row r="533" spans="1:8">
      <c r="A533" s="162" t="s">
        <v>787</v>
      </c>
      <c r="B533" s="162" t="s">
        <v>775</v>
      </c>
      <c r="C533" s="162" t="s">
        <v>782</v>
      </c>
      <c r="D533" s="161">
        <v>12256.35</v>
      </c>
      <c r="E533" s="136" t="s">
        <v>104</v>
      </c>
      <c r="F533" s="136" t="s">
        <v>561</v>
      </c>
      <c r="G533" s="136" t="s">
        <v>38</v>
      </c>
      <c r="H533" s="162" t="s">
        <v>780</v>
      </c>
    </row>
    <row r="534" spans="1:8">
      <c r="A534" s="162" t="s">
        <v>787</v>
      </c>
      <c r="B534" s="162" t="s">
        <v>772</v>
      </c>
      <c r="C534" s="162" t="s">
        <v>776</v>
      </c>
      <c r="D534" s="161">
        <v>12363.35</v>
      </c>
      <c r="E534" s="136" t="s">
        <v>564</v>
      </c>
      <c r="F534" s="136" t="s">
        <v>563</v>
      </c>
      <c r="G534" s="136" t="s">
        <v>38</v>
      </c>
      <c r="H534" s="162" t="s">
        <v>780</v>
      </c>
    </row>
    <row r="535" spans="1:8">
      <c r="A535" s="162" t="s">
        <v>784</v>
      </c>
      <c r="B535" s="152" t="s">
        <v>772</v>
      </c>
      <c r="C535" s="152" t="s">
        <v>776</v>
      </c>
      <c r="D535" s="161">
        <v>12577.35</v>
      </c>
      <c r="E535" s="136" t="s">
        <v>511</v>
      </c>
      <c r="F535" s="136" t="s">
        <v>568</v>
      </c>
      <c r="G535" s="136" t="s">
        <v>38</v>
      </c>
      <c r="H535" s="152" t="s">
        <v>777</v>
      </c>
    </row>
    <row r="536" spans="1:8">
      <c r="A536" s="162" t="s">
        <v>784</v>
      </c>
      <c r="B536" s="152" t="s">
        <v>772</v>
      </c>
      <c r="C536" s="152" t="s">
        <v>776</v>
      </c>
      <c r="D536" s="161">
        <v>12684.35</v>
      </c>
      <c r="E536" s="136" t="s">
        <v>45</v>
      </c>
      <c r="F536" s="136" t="s">
        <v>108</v>
      </c>
      <c r="G536" s="136" t="s">
        <v>38</v>
      </c>
      <c r="H536" s="152" t="s">
        <v>774</v>
      </c>
    </row>
    <row r="537" spans="1:8">
      <c r="A537" s="162" t="s">
        <v>784</v>
      </c>
      <c r="B537" s="152" t="s">
        <v>775</v>
      </c>
      <c r="C537" s="152" t="s">
        <v>776</v>
      </c>
      <c r="D537" s="161">
        <v>12791.35</v>
      </c>
      <c r="E537" s="136" t="s">
        <v>572</v>
      </c>
      <c r="F537" s="136" t="s">
        <v>571</v>
      </c>
      <c r="G537" s="136" t="s">
        <v>38</v>
      </c>
      <c r="H537" s="152" t="s">
        <v>778</v>
      </c>
    </row>
    <row r="538" spans="1:8">
      <c r="A538" s="162" t="s">
        <v>785</v>
      </c>
      <c r="B538" s="162" t="s">
        <v>772</v>
      </c>
      <c r="C538" s="162" t="s">
        <v>782</v>
      </c>
      <c r="D538" s="161">
        <v>9292.2000000000007</v>
      </c>
      <c r="E538" s="136" t="s">
        <v>104</v>
      </c>
      <c r="F538" s="136" t="s">
        <v>574</v>
      </c>
      <c r="G538" s="136" t="s">
        <v>38</v>
      </c>
      <c r="H538" s="152" t="s">
        <v>778</v>
      </c>
    </row>
    <row r="539" spans="1:8">
      <c r="A539" s="162" t="s">
        <v>785</v>
      </c>
      <c r="B539" s="162" t="s">
        <v>775</v>
      </c>
      <c r="C539" s="162" t="s">
        <v>782</v>
      </c>
      <c r="D539" s="161">
        <v>9369.5</v>
      </c>
      <c r="E539" s="136" t="s">
        <v>577</v>
      </c>
      <c r="F539" s="136" t="s">
        <v>576</v>
      </c>
      <c r="G539" s="136" t="s">
        <v>38</v>
      </c>
      <c r="H539" s="152" t="s">
        <v>777</v>
      </c>
    </row>
    <row r="540" spans="1:8">
      <c r="A540" s="162" t="s">
        <v>785</v>
      </c>
      <c r="B540" s="162" t="s">
        <v>772</v>
      </c>
      <c r="C540" s="162" t="s">
        <v>783</v>
      </c>
      <c r="D540" s="161">
        <v>9446.7999999999993</v>
      </c>
      <c r="E540" s="136" t="s">
        <v>580</v>
      </c>
      <c r="F540" s="136" t="s">
        <v>579</v>
      </c>
      <c r="G540" s="136" t="s">
        <v>38</v>
      </c>
      <c r="H540" s="152" t="s">
        <v>778</v>
      </c>
    </row>
    <row r="541" spans="1:8">
      <c r="A541" s="162" t="s">
        <v>785</v>
      </c>
      <c r="B541" s="162" t="s">
        <v>775</v>
      </c>
      <c r="C541" s="162" t="s">
        <v>782</v>
      </c>
      <c r="D541" s="161">
        <v>9524.1</v>
      </c>
      <c r="E541" s="136" t="s">
        <v>230</v>
      </c>
      <c r="F541" s="136" t="s">
        <v>229</v>
      </c>
      <c r="G541" s="136" t="s">
        <v>38</v>
      </c>
      <c r="H541" s="152" t="s">
        <v>777</v>
      </c>
    </row>
    <row r="542" spans="1:8">
      <c r="A542" s="162" t="s">
        <v>785</v>
      </c>
      <c r="B542" s="162" t="s">
        <v>772</v>
      </c>
      <c r="C542" s="162" t="s">
        <v>783</v>
      </c>
      <c r="D542" s="161">
        <v>9678.7000000000007</v>
      </c>
      <c r="E542" s="136" t="s">
        <v>586</v>
      </c>
      <c r="F542" s="136" t="s">
        <v>585</v>
      </c>
      <c r="G542" s="136" t="s">
        <v>38</v>
      </c>
      <c r="H542" s="152" t="s">
        <v>780</v>
      </c>
    </row>
    <row r="543" spans="1:8">
      <c r="A543" s="162" t="s">
        <v>785</v>
      </c>
      <c r="B543" s="152" t="s">
        <v>772</v>
      </c>
      <c r="C543" s="152" t="s">
        <v>773</v>
      </c>
      <c r="D543" s="161">
        <v>9756</v>
      </c>
      <c r="E543" s="136" t="s">
        <v>166</v>
      </c>
      <c r="F543" s="136" t="s">
        <v>588</v>
      </c>
      <c r="G543" s="136" t="s">
        <v>38</v>
      </c>
      <c r="H543" s="152" t="s">
        <v>774</v>
      </c>
    </row>
    <row r="544" spans="1:8">
      <c r="A544" s="152" t="s">
        <v>779</v>
      </c>
      <c r="B544" s="152" t="s">
        <v>775</v>
      </c>
      <c r="C544" s="152" t="s">
        <v>773</v>
      </c>
      <c r="D544" s="161">
        <v>9993.44</v>
      </c>
      <c r="E544" s="136" t="s">
        <v>596</v>
      </c>
      <c r="F544" s="136" t="s">
        <v>595</v>
      </c>
      <c r="G544" s="136" t="s">
        <v>38</v>
      </c>
      <c r="H544" s="162" t="s">
        <v>780</v>
      </c>
    </row>
    <row r="545" spans="1:8">
      <c r="A545" s="152" t="s">
        <v>779</v>
      </c>
      <c r="B545" s="152" t="s">
        <v>772</v>
      </c>
      <c r="C545" s="152" t="s">
        <v>776</v>
      </c>
      <c r="D545" s="161">
        <v>9996.2099999999991</v>
      </c>
      <c r="E545" s="136" t="s">
        <v>45</v>
      </c>
      <c r="F545" s="136" t="s">
        <v>598</v>
      </c>
      <c r="G545" s="136" t="s">
        <v>38</v>
      </c>
      <c r="H545" s="162" t="s">
        <v>780</v>
      </c>
    </row>
    <row r="546" spans="1:8">
      <c r="A546" s="162" t="s">
        <v>786</v>
      </c>
      <c r="B546" s="152" t="s">
        <v>772</v>
      </c>
      <c r="C546" s="152" t="s">
        <v>773</v>
      </c>
      <c r="D546" s="161">
        <v>10010.06</v>
      </c>
      <c r="E546" s="136" t="s">
        <v>135</v>
      </c>
      <c r="F546" s="136" t="s">
        <v>429</v>
      </c>
      <c r="G546" s="136" t="s">
        <v>38</v>
      </c>
      <c r="H546" s="152" t="s">
        <v>774</v>
      </c>
    </row>
    <row r="547" spans="1:8">
      <c r="A547" s="162" t="s">
        <v>786</v>
      </c>
      <c r="B547" s="152" t="s">
        <v>775</v>
      </c>
      <c r="C547" s="152" t="s">
        <v>776</v>
      </c>
      <c r="D547" s="161">
        <v>12363.35</v>
      </c>
      <c r="E547" s="136" t="s">
        <v>45</v>
      </c>
      <c r="F547" s="136" t="s">
        <v>118</v>
      </c>
      <c r="G547" s="136" t="s">
        <v>38</v>
      </c>
      <c r="H547" s="152" t="s">
        <v>774</v>
      </c>
    </row>
    <row r="548" spans="1:8">
      <c r="A548" s="162" t="s">
        <v>785</v>
      </c>
      <c r="B548" s="162" t="s">
        <v>772</v>
      </c>
      <c r="C548" s="162" t="s">
        <v>783</v>
      </c>
      <c r="D548" s="161">
        <v>12577.35</v>
      </c>
      <c r="E548" s="136" t="s">
        <v>607</v>
      </c>
      <c r="F548" s="136" t="s">
        <v>606</v>
      </c>
      <c r="G548" s="136" t="s">
        <v>38</v>
      </c>
      <c r="H548" s="152" t="s">
        <v>778</v>
      </c>
    </row>
    <row r="549" spans="1:8">
      <c r="A549" s="162" t="s">
        <v>785</v>
      </c>
      <c r="B549" s="152" t="s">
        <v>772</v>
      </c>
      <c r="C549" s="152" t="s">
        <v>773</v>
      </c>
      <c r="D549" s="161">
        <v>12684.35</v>
      </c>
      <c r="E549" s="136" t="s">
        <v>232</v>
      </c>
      <c r="F549" s="136" t="s">
        <v>609</v>
      </c>
      <c r="G549" s="136" t="s">
        <v>38</v>
      </c>
      <c r="H549" s="152" t="s">
        <v>778</v>
      </c>
    </row>
    <row r="550" spans="1:8">
      <c r="A550" s="162" t="s">
        <v>786</v>
      </c>
      <c r="B550" s="152" t="s">
        <v>775</v>
      </c>
      <c r="C550" s="152" t="s">
        <v>776</v>
      </c>
      <c r="D550" s="161">
        <v>9446.7999999999993</v>
      </c>
      <c r="E550" s="136" t="s">
        <v>45</v>
      </c>
      <c r="F550" s="136" t="s">
        <v>437</v>
      </c>
      <c r="G550" s="136" t="s">
        <v>38</v>
      </c>
      <c r="H550" s="152" t="s">
        <v>778</v>
      </c>
    </row>
    <row r="551" spans="1:8">
      <c r="A551" s="162" t="s">
        <v>785</v>
      </c>
      <c r="B551" s="162" t="s">
        <v>772</v>
      </c>
      <c r="C551" s="162" t="s">
        <v>776</v>
      </c>
      <c r="D551" s="161">
        <v>9524.1</v>
      </c>
      <c r="E551" s="136" t="s">
        <v>45</v>
      </c>
      <c r="F551" s="136" t="s">
        <v>619</v>
      </c>
      <c r="G551" s="136" t="s">
        <v>38</v>
      </c>
      <c r="H551" s="152" t="s">
        <v>778</v>
      </c>
    </row>
    <row r="552" spans="1:8">
      <c r="A552" s="162" t="s">
        <v>785</v>
      </c>
      <c r="B552" s="162" t="s">
        <v>772</v>
      </c>
      <c r="C552" s="162" t="s">
        <v>783</v>
      </c>
      <c r="D552" s="161">
        <v>9601.4</v>
      </c>
      <c r="E552" s="136" t="s">
        <v>45</v>
      </c>
      <c r="F552" s="136" t="s">
        <v>79</v>
      </c>
      <c r="G552" s="136" t="s">
        <v>38</v>
      </c>
      <c r="H552" s="152" t="s">
        <v>777</v>
      </c>
    </row>
    <row r="553" spans="1:8">
      <c r="A553" s="162" t="s">
        <v>786</v>
      </c>
      <c r="B553" s="152" t="s">
        <v>772</v>
      </c>
      <c r="C553" s="152" t="s">
        <v>773</v>
      </c>
      <c r="D553" s="161">
        <v>9678.7000000000007</v>
      </c>
      <c r="E553" s="136" t="s">
        <v>45</v>
      </c>
      <c r="F553" s="136" t="s">
        <v>622</v>
      </c>
      <c r="G553" s="136" t="s">
        <v>38</v>
      </c>
      <c r="H553" s="152" t="s">
        <v>778</v>
      </c>
    </row>
    <row r="554" spans="1:8">
      <c r="A554" s="162" t="s">
        <v>786</v>
      </c>
      <c r="B554" s="152" t="s">
        <v>775</v>
      </c>
      <c r="C554" s="152" t="s">
        <v>776</v>
      </c>
      <c r="D554" s="161">
        <v>9756</v>
      </c>
      <c r="E554" s="136" t="s">
        <v>45</v>
      </c>
      <c r="F554" s="136" t="s">
        <v>97</v>
      </c>
      <c r="G554" s="136" t="s">
        <v>38</v>
      </c>
      <c r="H554" s="152" t="s">
        <v>777</v>
      </c>
    </row>
    <row r="555" spans="1:8">
      <c r="A555" s="162" t="s">
        <v>785</v>
      </c>
      <c r="B555" s="162" t="s">
        <v>772</v>
      </c>
      <c r="C555" s="162" t="s">
        <v>776</v>
      </c>
      <c r="D555" s="161">
        <v>9833.2999999999993</v>
      </c>
      <c r="E555" s="136" t="s">
        <v>45</v>
      </c>
      <c r="F555" s="136" t="s">
        <v>625</v>
      </c>
      <c r="G555" s="136" t="s">
        <v>38</v>
      </c>
      <c r="H555" s="152" t="s">
        <v>778</v>
      </c>
    </row>
    <row r="556" spans="1:8">
      <c r="A556" s="162" t="s">
        <v>785</v>
      </c>
      <c r="B556" s="162" t="s">
        <v>772</v>
      </c>
      <c r="C556" s="162" t="s">
        <v>783</v>
      </c>
      <c r="D556" s="161">
        <v>9910.6</v>
      </c>
      <c r="E556" s="136" t="s">
        <v>45</v>
      </c>
      <c r="F556" s="136" t="s">
        <v>627</v>
      </c>
      <c r="G556" s="136" t="s">
        <v>38</v>
      </c>
      <c r="H556" s="152" t="s">
        <v>780</v>
      </c>
    </row>
    <row r="557" spans="1:8">
      <c r="A557" s="162" t="s">
        <v>785</v>
      </c>
      <c r="B557" s="162" t="s">
        <v>775</v>
      </c>
      <c r="C557" s="162" t="s">
        <v>782</v>
      </c>
      <c r="D557" s="161">
        <v>10023.91</v>
      </c>
      <c r="E557" s="136" t="s">
        <v>45</v>
      </c>
      <c r="F557" s="136" t="s">
        <v>629</v>
      </c>
      <c r="G557" s="136" t="s">
        <v>38</v>
      </c>
      <c r="H557" s="152" t="s">
        <v>774</v>
      </c>
    </row>
    <row r="558" spans="1:8">
      <c r="A558" s="162" t="s">
        <v>785</v>
      </c>
      <c r="B558" s="162" t="s">
        <v>772</v>
      </c>
      <c r="C558" s="162" t="s">
        <v>776</v>
      </c>
      <c r="D558" s="161">
        <v>10026.68</v>
      </c>
      <c r="E558" s="136" t="s">
        <v>45</v>
      </c>
      <c r="F558" s="136" t="s">
        <v>542</v>
      </c>
      <c r="G558" s="136" t="s">
        <v>38</v>
      </c>
      <c r="H558" s="152" t="s">
        <v>780</v>
      </c>
    </row>
    <row r="559" spans="1:8">
      <c r="A559" s="162" t="s">
        <v>785</v>
      </c>
      <c r="B559" s="162" t="s">
        <v>772</v>
      </c>
      <c r="C559" s="162" t="s">
        <v>783</v>
      </c>
      <c r="D559" s="161">
        <v>12149.35</v>
      </c>
      <c r="E559" s="136" t="s">
        <v>460</v>
      </c>
      <c r="F559" s="136" t="s">
        <v>632</v>
      </c>
      <c r="G559" s="136" t="s">
        <v>38</v>
      </c>
      <c r="H559" s="162" t="s">
        <v>774</v>
      </c>
    </row>
    <row r="560" spans="1:8">
      <c r="A560" s="162" t="s">
        <v>785</v>
      </c>
      <c r="B560" s="152" t="s">
        <v>772</v>
      </c>
      <c r="C560" s="152" t="s">
        <v>773</v>
      </c>
      <c r="D560" s="161">
        <v>12256.35</v>
      </c>
      <c r="E560" s="136" t="s">
        <v>45</v>
      </c>
      <c r="F560" s="136" t="s">
        <v>625</v>
      </c>
      <c r="G560" s="136" t="s">
        <v>38</v>
      </c>
      <c r="H560" s="162" t="s">
        <v>778</v>
      </c>
    </row>
    <row r="561" spans="1:8">
      <c r="A561" s="152" t="s">
        <v>771</v>
      </c>
      <c r="B561" s="152" t="s">
        <v>775</v>
      </c>
      <c r="C561" s="152" t="s">
        <v>776</v>
      </c>
      <c r="D561" s="161">
        <v>12363.35</v>
      </c>
      <c r="E561" s="136" t="s">
        <v>564</v>
      </c>
      <c r="F561" s="136" t="s">
        <v>635</v>
      </c>
      <c r="G561" s="136" t="s">
        <v>38</v>
      </c>
      <c r="H561" s="162" t="s">
        <v>778</v>
      </c>
    </row>
    <row r="562" spans="1:8">
      <c r="A562" s="152" t="s">
        <v>771</v>
      </c>
      <c r="B562" s="152" t="s">
        <v>772</v>
      </c>
      <c r="C562" s="152" t="s">
        <v>773</v>
      </c>
      <c r="D562" s="161">
        <v>12470.35</v>
      </c>
      <c r="E562" s="136" t="s">
        <v>45</v>
      </c>
      <c r="F562" s="136" t="s">
        <v>637</v>
      </c>
      <c r="G562" s="136" t="s">
        <v>38</v>
      </c>
      <c r="H562" s="162" t="s">
        <v>780</v>
      </c>
    </row>
    <row r="563" spans="1:8">
      <c r="A563" s="162" t="s">
        <v>779</v>
      </c>
      <c r="B563" s="162" t="s">
        <v>772</v>
      </c>
      <c r="C563" s="162" t="s">
        <v>776</v>
      </c>
      <c r="D563" s="161">
        <v>9993.44</v>
      </c>
      <c r="E563" s="136" t="s">
        <v>45</v>
      </c>
      <c r="F563" s="136" t="s">
        <v>644</v>
      </c>
      <c r="G563" s="136" t="s">
        <v>38</v>
      </c>
      <c r="H563" s="152" t="s">
        <v>777</v>
      </c>
    </row>
    <row r="564" spans="1:8">
      <c r="A564" s="162" t="s">
        <v>786</v>
      </c>
      <c r="B564" s="152" t="s">
        <v>772</v>
      </c>
      <c r="C564" s="152" t="s">
        <v>773</v>
      </c>
      <c r="D564" s="161">
        <v>6715.4</v>
      </c>
      <c r="E564" s="136" t="s">
        <v>205</v>
      </c>
      <c r="F564" s="136" t="s">
        <v>97</v>
      </c>
      <c r="G564" s="136" t="s">
        <v>38</v>
      </c>
      <c r="H564" s="162" t="s">
        <v>778</v>
      </c>
    </row>
    <row r="565" spans="1:8">
      <c r="A565" s="152" t="s">
        <v>771</v>
      </c>
      <c r="B565" s="152" t="s">
        <v>772</v>
      </c>
      <c r="C565" s="152" t="s">
        <v>773</v>
      </c>
      <c r="D565" s="161">
        <v>6818.6</v>
      </c>
      <c r="E565" s="136" t="s">
        <v>76</v>
      </c>
      <c r="F565" s="136" t="s">
        <v>141</v>
      </c>
      <c r="G565" s="136" t="s">
        <v>38</v>
      </c>
      <c r="H565" s="162" t="s">
        <v>780</v>
      </c>
    </row>
    <row r="566" spans="1:8">
      <c r="A566" s="152" t="s">
        <v>779</v>
      </c>
      <c r="B566" s="152" t="s">
        <v>775</v>
      </c>
      <c r="C566" s="152" t="s">
        <v>776</v>
      </c>
      <c r="D566" s="161">
        <v>6973.2000000000007</v>
      </c>
      <c r="E566" s="136" t="s">
        <v>205</v>
      </c>
      <c r="F566" s="136" t="s">
        <v>694</v>
      </c>
      <c r="G566" s="136" t="s">
        <v>38</v>
      </c>
      <c r="H566" s="152" t="s">
        <v>774</v>
      </c>
    </row>
    <row r="567" spans="1:8">
      <c r="A567" s="162" t="s">
        <v>786</v>
      </c>
      <c r="B567" s="152" t="s">
        <v>775</v>
      </c>
      <c r="C567" s="152" t="s">
        <v>776</v>
      </c>
      <c r="D567" s="161">
        <v>10010.06</v>
      </c>
      <c r="E567" s="136" t="s">
        <v>135</v>
      </c>
      <c r="F567" s="136" t="s">
        <v>705</v>
      </c>
      <c r="G567" s="136" t="s">
        <v>38</v>
      </c>
      <c r="H567" s="152" t="s">
        <v>778</v>
      </c>
    </row>
    <row r="568" spans="1:8">
      <c r="A568" s="152" t="s">
        <v>779</v>
      </c>
      <c r="B568" s="152" t="s">
        <v>772</v>
      </c>
      <c r="C568" s="152" t="s">
        <v>776</v>
      </c>
      <c r="D568" s="161">
        <v>6096.2</v>
      </c>
      <c r="E568" s="136" t="s">
        <v>45</v>
      </c>
      <c r="F568" s="136" t="s">
        <v>542</v>
      </c>
      <c r="G568" s="136" t="s">
        <v>38</v>
      </c>
      <c r="H568" s="152" t="s">
        <v>774</v>
      </c>
    </row>
    <row r="569" spans="1:8">
      <c r="A569" s="162" t="s">
        <v>786</v>
      </c>
      <c r="B569" s="152" t="s">
        <v>772</v>
      </c>
      <c r="C569" s="152" t="s">
        <v>773</v>
      </c>
      <c r="D569" s="161">
        <v>6199.4</v>
      </c>
      <c r="E569" s="136" t="s">
        <v>73</v>
      </c>
      <c r="F569" s="136" t="s">
        <v>445</v>
      </c>
      <c r="G569" s="136" t="s">
        <v>38</v>
      </c>
      <c r="H569" s="152" t="s">
        <v>778</v>
      </c>
    </row>
    <row r="570" spans="1:8">
      <c r="A570" s="162" t="s">
        <v>786</v>
      </c>
      <c r="B570" s="152" t="s">
        <v>772</v>
      </c>
      <c r="C570" s="152" t="s">
        <v>773</v>
      </c>
      <c r="D570" s="161">
        <v>6302.6</v>
      </c>
      <c r="E570" s="136" t="s">
        <v>564</v>
      </c>
      <c r="F570" s="136" t="s">
        <v>563</v>
      </c>
      <c r="G570" s="136" t="s">
        <v>38</v>
      </c>
      <c r="H570" s="152" t="s">
        <v>778</v>
      </c>
    </row>
    <row r="571" spans="1:8">
      <c r="A571" s="162" t="s">
        <v>786</v>
      </c>
      <c r="B571" s="152" t="s">
        <v>775</v>
      </c>
      <c r="C571" s="152" t="s">
        <v>776</v>
      </c>
      <c r="D571" s="161">
        <v>7050.5</v>
      </c>
      <c r="E571" s="136" t="s">
        <v>45</v>
      </c>
      <c r="F571" s="136" t="s">
        <v>508</v>
      </c>
      <c r="G571" s="136" t="s">
        <v>38</v>
      </c>
      <c r="H571" s="152" t="s">
        <v>777</v>
      </c>
    </row>
    <row r="572" spans="1:8">
      <c r="A572" s="162" t="s">
        <v>779</v>
      </c>
      <c r="B572" s="152" t="s">
        <v>772</v>
      </c>
      <c r="C572" s="152" t="s">
        <v>773</v>
      </c>
      <c r="D572" s="161">
        <v>7127.8</v>
      </c>
      <c r="E572" s="136" t="s">
        <v>511</v>
      </c>
      <c r="F572" s="136" t="s">
        <v>718</v>
      </c>
      <c r="G572" s="136" t="s">
        <v>38</v>
      </c>
      <c r="H572" s="152" t="s">
        <v>778</v>
      </c>
    </row>
    <row r="573" spans="1:8">
      <c r="A573" s="162" t="s">
        <v>779</v>
      </c>
      <c r="B573" s="162" t="s">
        <v>775</v>
      </c>
      <c r="C573" s="162" t="s">
        <v>782</v>
      </c>
      <c r="D573" s="161">
        <v>7205.1</v>
      </c>
      <c r="E573" s="136" t="s">
        <v>227</v>
      </c>
      <c r="F573" s="136" t="s">
        <v>576</v>
      </c>
      <c r="G573" s="136" t="s">
        <v>38</v>
      </c>
      <c r="H573" s="152" t="s">
        <v>777</v>
      </c>
    </row>
    <row r="574" spans="1:8">
      <c r="A574" s="162" t="s">
        <v>787</v>
      </c>
      <c r="B574" s="162" t="s">
        <v>772</v>
      </c>
      <c r="C574" s="162" t="s">
        <v>783</v>
      </c>
      <c r="D574" s="161">
        <v>7282.4000000000005</v>
      </c>
      <c r="E574" s="136" t="s">
        <v>511</v>
      </c>
      <c r="F574" s="136" t="s">
        <v>568</v>
      </c>
      <c r="G574" s="136" t="s">
        <v>38</v>
      </c>
      <c r="H574" s="152" t="s">
        <v>778</v>
      </c>
    </row>
    <row r="575" spans="1:8">
      <c r="A575" s="162" t="s">
        <v>787</v>
      </c>
      <c r="B575" s="162" t="s">
        <v>772</v>
      </c>
      <c r="C575" s="162" t="s">
        <v>776</v>
      </c>
      <c r="D575" s="161">
        <v>10012.83</v>
      </c>
      <c r="E575" s="136" t="s">
        <v>572</v>
      </c>
      <c r="F575" s="136" t="s">
        <v>723</v>
      </c>
      <c r="G575" s="136" t="s">
        <v>38</v>
      </c>
      <c r="H575" s="152" t="s">
        <v>774</v>
      </c>
    </row>
    <row r="576" spans="1:8">
      <c r="A576" s="162" t="s">
        <v>784</v>
      </c>
      <c r="B576" s="152" t="s">
        <v>775</v>
      </c>
      <c r="C576" s="152" t="s">
        <v>773</v>
      </c>
      <c r="D576" s="161">
        <v>9910.6</v>
      </c>
      <c r="E576" s="136" t="s">
        <v>580</v>
      </c>
      <c r="F576" s="136" t="s">
        <v>579</v>
      </c>
      <c r="G576" s="136" t="s">
        <v>38</v>
      </c>
      <c r="H576" s="152" t="s">
        <v>780</v>
      </c>
    </row>
    <row r="577" spans="1:8">
      <c r="A577" s="162" t="s">
        <v>785</v>
      </c>
      <c r="B577" s="162" t="s">
        <v>772</v>
      </c>
      <c r="C577" s="162" t="s">
        <v>782</v>
      </c>
      <c r="D577" s="161">
        <v>10010.06</v>
      </c>
      <c r="E577" s="136" t="s">
        <v>45</v>
      </c>
      <c r="F577" s="136" t="s">
        <v>548</v>
      </c>
      <c r="G577" s="136" t="s">
        <v>38</v>
      </c>
      <c r="H577" s="162" t="s">
        <v>780</v>
      </c>
    </row>
    <row r="578" spans="1:8">
      <c r="A578" s="162" t="s">
        <v>785</v>
      </c>
      <c r="B578" s="162" t="s">
        <v>775</v>
      </c>
      <c r="C578" s="162" t="s">
        <v>782</v>
      </c>
      <c r="D578" s="161">
        <v>10012.83</v>
      </c>
      <c r="E578" s="136" t="s">
        <v>45</v>
      </c>
      <c r="F578" s="136" t="s">
        <v>732</v>
      </c>
      <c r="G578" s="136" t="s">
        <v>38</v>
      </c>
      <c r="H578" s="162" t="s">
        <v>780</v>
      </c>
    </row>
    <row r="579" spans="1:8">
      <c r="A579" s="162" t="s">
        <v>785</v>
      </c>
      <c r="B579" s="162" t="s">
        <v>772</v>
      </c>
      <c r="C579" s="162" t="s">
        <v>783</v>
      </c>
      <c r="D579" s="161">
        <v>10010.06</v>
      </c>
      <c r="E579" s="136" t="s">
        <v>45</v>
      </c>
      <c r="F579" s="136" t="s">
        <v>734</v>
      </c>
      <c r="G579" s="136" t="s">
        <v>38</v>
      </c>
      <c r="H579" s="152" t="s">
        <v>774</v>
      </c>
    </row>
    <row r="580" spans="1:8">
      <c r="A580" s="162" t="s">
        <v>785</v>
      </c>
      <c r="B580" s="162" t="s">
        <v>775</v>
      </c>
      <c r="C580" s="162" t="s">
        <v>782</v>
      </c>
      <c r="D580" s="161">
        <v>10012.83</v>
      </c>
      <c r="E580" s="136" t="s">
        <v>45</v>
      </c>
      <c r="F580" s="136" t="s">
        <v>132</v>
      </c>
      <c r="G580" s="136" t="s">
        <v>38</v>
      </c>
      <c r="H580" s="152" t="s">
        <v>777</v>
      </c>
    </row>
    <row r="581" spans="1:8">
      <c r="A581" s="162" t="s">
        <v>785</v>
      </c>
      <c r="B581" s="162" t="s">
        <v>772</v>
      </c>
      <c r="C581" s="162" t="s">
        <v>776</v>
      </c>
      <c r="D581" s="161">
        <v>9910.6</v>
      </c>
      <c r="E581" s="136" t="s">
        <v>45</v>
      </c>
      <c r="F581" s="136" t="s">
        <v>737</v>
      </c>
      <c r="G581" s="136" t="s">
        <v>38</v>
      </c>
      <c r="H581" s="152" t="s">
        <v>774</v>
      </c>
    </row>
    <row r="582" spans="1:8">
      <c r="A582" s="162" t="s">
        <v>784</v>
      </c>
      <c r="B582" s="152" t="s">
        <v>772</v>
      </c>
      <c r="C582" s="152" t="s">
        <v>773</v>
      </c>
      <c r="D582" s="161">
        <v>9910.6</v>
      </c>
      <c r="E582" s="136" t="s">
        <v>45</v>
      </c>
      <c r="F582" s="136" t="s">
        <v>744</v>
      </c>
      <c r="G582" s="136" t="s">
        <v>38</v>
      </c>
      <c r="H582" s="152" t="s">
        <v>778</v>
      </c>
    </row>
    <row r="583" spans="1:8">
      <c r="A583" s="162" t="s">
        <v>785</v>
      </c>
      <c r="B583" s="152" t="s">
        <v>772</v>
      </c>
      <c r="C583" s="152" t="s">
        <v>776</v>
      </c>
      <c r="D583" s="161">
        <v>6096.2</v>
      </c>
      <c r="E583" s="136" t="s">
        <v>104</v>
      </c>
      <c r="F583" s="136" t="s">
        <v>750</v>
      </c>
      <c r="G583" s="136" t="s">
        <v>38</v>
      </c>
      <c r="H583" s="152" t="s">
        <v>778</v>
      </c>
    </row>
    <row r="584" spans="1:8">
      <c r="A584" s="162" t="s">
        <v>785</v>
      </c>
      <c r="B584" s="152" t="s">
        <v>772</v>
      </c>
      <c r="C584" s="152" t="s">
        <v>773</v>
      </c>
      <c r="D584" s="161">
        <v>6199.4</v>
      </c>
      <c r="E584" s="136" t="s">
        <v>104</v>
      </c>
      <c r="F584" s="136" t="s">
        <v>752</v>
      </c>
      <c r="G584" s="136" t="s">
        <v>38</v>
      </c>
      <c r="H584" s="152" t="s">
        <v>777</v>
      </c>
    </row>
    <row r="585" spans="1:8">
      <c r="A585" s="162" t="s">
        <v>785</v>
      </c>
      <c r="B585" s="152" t="s">
        <v>772</v>
      </c>
      <c r="C585" s="152" t="s">
        <v>773</v>
      </c>
      <c r="D585" s="161">
        <v>6302.6</v>
      </c>
      <c r="E585" s="136" t="s">
        <v>754</v>
      </c>
      <c r="F585" s="136" t="s">
        <v>110</v>
      </c>
      <c r="G585" s="136" t="s">
        <v>38</v>
      </c>
      <c r="H585" s="152" t="s">
        <v>778</v>
      </c>
    </row>
    <row r="586" spans="1:8">
      <c r="A586" s="162" t="s">
        <v>785</v>
      </c>
      <c r="B586" s="152" t="s">
        <v>775</v>
      </c>
      <c r="C586" s="152" t="s">
        <v>776</v>
      </c>
      <c r="D586" s="161">
        <v>9833.2999999999993</v>
      </c>
      <c r="E586" s="136" t="s">
        <v>232</v>
      </c>
      <c r="F586" s="136" t="s">
        <v>756</v>
      </c>
      <c r="G586" s="136" t="s">
        <v>38</v>
      </c>
      <c r="H586" s="152" t="s">
        <v>777</v>
      </c>
    </row>
    <row r="587" spans="1:8">
      <c r="A587" s="162" t="s">
        <v>785</v>
      </c>
      <c r="B587" s="152" t="s">
        <v>775</v>
      </c>
      <c r="C587" s="152" t="s">
        <v>776</v>
      </c>
      <c r="D587" s="161">
        <v>9910.6</v>
      </c>
      <c r="E587" s="136" t="s">
        <v>166</v>
      </c>
      <c r="F587" s="136" t="s">
        <v>588</v>
      </c>
      <c r="G587" s="136" t="s">
        <v>38</v>
      </c>
      <c r="H587" s="152" t="s">
        <v>778</v>
      </c>
    </row>
    <row r="588" spans="1:8">
      <c r="A588" s="162" t="s">
        <v>785</v>
      </c>
      <c r="B588" s="152" t="s">
        <v>775</v>
      </c>
      <c r="C588" s="152" t="s">
        <v>773</v>
      </c>
      <c r="D588" s="161">
        <v>9987.9</v>
      </c>
      <c r="E588" s="136" t="s">
        <v>45</v>
      </c>
      <c r="F588" s="136" t="s">
        <v>759</v>
      </c>
      <c r="G588" s="136" t="s">
        <v>38</v>
      </c>
      <c r="H588" s="152" t="s">
        <v>780</v>
      </c>
    </row>
    <row r="589" spans="1:8">
      <c r="A589" s="152" t="s">
        <v>771</v>
      </c>
      <c r="B589" s="152" t="s">
        <v>772</v>
      </c>
      <c r="C589" s="162" t="s">
        <v>776</v>
      </c>
      <c r="D589" s="161">
        <v>9910.6</v>
      </c>
      <c r="E589" s="136" t="s">
        <v>205</v>
      </c>
      <c r="F589" s="136" t="s">
        <v>97</v>
      </c>
      <c r="G589" s="136" t="s">
        <v>38</v>
      </c>
      <c r="H589" s="152" t="s">
        <v>777</v>
      </c>
    </row>
    <row r="590" spans="1:8">
      <c r="A590" s="162" t="s">
        <v>779</v>
      </c>
      <c r="B590" s="152" t="s">
        <v>775</v>
      </c>
      <c r="C590" s="162" t="s">
        <v>782</v>
      </c>
      <c r="D590" s="161">
        <v>6509</v>
      </c>
      <c r="E590" s="136" t="s">
        <v>135</v>
      </c>
      <c r="F590" s="136" t="s">
        <v>705</v>
      </c>
      <c r="G590" s="136" t="s">
        <v>38</v>
      </c>
      <c r="H590" s="162" t="s">
        <v>780</v>
      </c>
    </row>
    <row r="591" spans="1:8">
      <c r="A591" s="152" t="s">
        <v>779</v>
      </c>
      <c r="B591" s="152" t="s">
        <v>772</v>
      </c>
      <c r="C591" s="152" t="s">
        <v>773</v>
      </c>
      <c r="D591" s="161">
        <v>6818.6</v>
      </c>
      <c r="E591" s="136" t="s">
        <v>586</v>
      </c>
      <c r="F591" s="136" t="s">
        <v>709</v>
      </c>
      <c r="G591" s="136" t="s">
        <v>38</v>
      </c>
      <c r="H591" s="152" t="s">
        <v>777</v>
      </c>
    </row>
    <row r="592" spans="1:8">
      <c r="A592" s="152" t="s">
        <v>779</v>
      </c>
      <c r="B592" s="152" t="s">
        <v>772</v>
      </c>
      <c r="C592" s="152" t="s">
        <v>776</v>
      </c>
      <c r="D592" s="161">
        <v>6895.9000000000005</v>
      </c>
      <c r="E592" s="136" t="s">
        <v>219</v>
      </c>
      <c r="F592" s="136" t="s">
        <v>711</v>
      </c>
      <c r="G592" s="136" t="s">
        <v>38</v>
      </c>
      <c r="H592" s="152" t="s">
        <v>774</v>
      </c>
    </row>
    <row r="593" spans="1:8">
      <c r="A593" s="152" t="s">
        <v>779</v>
      </c>
      <c r="B593" s="152" t="s">
        <v>775</v>
      </c>
      <c r="C593" s="152" t="s">
        <v>773</v>
      </c>
      <c r="D593" s="161">
        <v>9910.6</v>
      </c>
      <c r="E593" s="136" t="s">
        <v>219</v>
      </c>
      <c r="F593" s="136" t="s">
        <v>441</v>
      </c>
      <c r="G593" s="136" t="s">
        <v>38</v>
      </c>
      <c r="H593" s="152" t="s">
        <v>778</v>
      </c>
    </row>
    <row r="594" spans="1:8">
      <c r="A594" s="152" t="s">
        <v>771</v>
      </c>
      <c r="B594" s="152" t="s">
        <v>772</v>
      </c>
      <c r="C594" s="162" t="s">
        <v>776</v>
      </c>
      <c r="D594" s="161">
        <v>10010.06</v>
      </c>
      <c r="E594" s="136" t="s">
        <v>45</v>
      </c>
      <c r="F594" s="136" t="s">
        <v>508</v>
      </c>
      <c r="G594" s="136" t="s">
        <v>38</v>
      </c>
      <c r="H594" s="152" t="s">
        <v>778</v>
      </c>
    </row>
    <row r="595" spans="1:8">
      <c r="A595" s="152" t="s">
        <v>779</v>
      </c>
      <c r="B595" s="152" t="s">
        <v>775</v>
      </c>
      <c r="C595" s="152" t="s">
        <v>773</v>
      </c>
      <c r="D595" s="161">
        <v>6199.4</v>
      </c>
      <c r="E595" s="136" t="s">
        <v>511</v>
      </c>
      <c r="F595" s="136" t="s">
        <v>718</v>
      </c>
      <c r="G595" s="136" t="s">
        <v>38</v>
      </c>
      <c r="H595" s="152" t="s">
        <v>778</v>
      </c>
    </row>
    <row r="596" spans="1:8">
      <c r="A596" s="162" t="s">
        <v>787</v>
      </c>
      <c r="B596" s="152" t="s">
        <v>772</v>
      </c>
      <c r="C596" s="152" t="s">
        <v>776</v>
      </c>
      <c r="D596" s="161">
        <v>6302.6</v>
      </c>
      <c r="E596" s="136" t="s">
        <v>227</v>
      </c>
      <c r="F596" s="136" t="s">
        <v>576</v>
      </c>
      <c r="G596" s="136" t="s">
        <v>38</v>
      </c>
      <c r="H596" s="152" t="s">
        <v>777</v>
      </c>
    </row>
    <row r="597" spans="1:8">
      <c r="A597" s="162" t="s">
        <v>786</v>
      </c>
      <c r="B597" s="152" t="s">
        <v>775</v>
      </c>
      <c r="C597" s="152" t="s">
        <v>776</v>
      </c>
      <c r="D597" s="161">
        <v>6405.8</v>
      </c>
      <c r="E597" s="136" t="s">
        <v>511</v>
      </c>
      <c r="F597" s="136" t="s">
        <v>568</v>
      </c>
      <c r="G597" s="136" t="s">
        <v>38</v>
      </c>
      <c r="H597" s="152" t="s">
        <v>778</v>
      </c>
    </row>
    <row r="598" spans="1:8">
      <c r="A598" s="162" t="s">
        <v>784</v>
      </c>
      <c r="B598" s="152" t="s">
        <v>775</v>
      </c>
      <c r="C598" s="162" t="s">
        <v>782</v>
      </c>
      <c r="D598" s="161">
        <v>6715.4</v>
      </c>
      <c r="E598" s="136" t="s">
        <v>572</v>
      </c>
      <c r="F598" s="136" t="s">
        <v>723</v>
      </c>
      <c r="G598" s="136" t="s">
        <v>38</v>
      </c>
      <c r="H598" s="152" t="s">
        <v>778</v>
      </c>
    </row>
    <row r="599" spans="1:8">
      <c r="A599" s="162" t="s">
        <v>785</v>
      </c>
      <c r="B599" s="152" t="s">
        <v>775</v>
      </c>
      <c r="C599" s="162" t="s">
        <v>782</v>
      </c>
      <c r="D599" s="161">
        <v>6818.6</v>
      </c>
      <c r="E599" s="136" t="s">
        <v>580</v>
      </c>
      <c r="F599" s="136" t="s">
        <v>579</v>
      </c>
      <c r="G599" s="136" t="s">
        <v>38</v>
      </c>
      <c r="H599" s="152" t="s">
        <v>780</v>
      </c>
    </row>
    <row r="600" spans="1:8">
      <c r="A600" s="162" t="s">
        <v>786</v>
      </c>
      <c r="B600" s="152" t="s">
        <v>772</v>
      </c>
      <c r="C600" s="162" t="s">
        <v>782</v>
      </c>
      <c r="D600" s="161">
        <v>9910.6</v>
      </c>
      <c r="E600" s="136" t="s">
        <v>205</v>
      </c>
      <c r="F600" s="136" t="s">
        <v>694</v>
      </c>
      <c r="G600" s="136" t="s">
        <v>38</v>
      </c>
      <c r="H600" s="152" t="s">
        <v>780</v>
      </c>
    </row>
    <row r="601" spans="1:8">
      <c r="A601" s="152" t="s">
        <v>771</v>
      </c>
      <c r="B601" s="152" t="s">
        <v>775</v>
      </c>
      <c r="C601" s="162" t="s">
        <v>776</v>
      </c>
      <c r="D601" s="161">
        <v>6612.2</v>
      </c>
      <c r="E601" s="136" t="s">
        <v>135</v>
      </c>
      <c r="F601" s="136" t="s">
        <v>705</v>
      </c>
      <c r="G601" s="136" t="s">
        <v>38</v>
      </c>
      <c r="H601" s="162" t="s">
        <v>780</v>
      </c>
    </row>
    <row r="602" spans="1:8">
      <c r="A602" s="152" t="s">
        <v>779</v>
      </c>
      <c r="B602" s="152" t="s">
        <v>772</v>
      </c>
      <c r="C602" s="152" t="s">
        <v>776</v>
      </c>
      <c r="D602" s="161">
        <v>6895.9000000000005</v>
      </c>
      <c r="E602" s="136" t="s">
        <v>586</v>
      </c>
      <c r="F602" s="136" t="s">
        <v>709</v>
      </c>
      <c r="G602" s="136" t="s">
        <v>38</v>
      </c>
      <c r="H602" s="152" t="s">
        <v>774</v>
      </c>
    </row>
    <row r="603" spans="1:8">
      <c r="A603" s="152" t="s">
        <v>779</v>
      </c>
      <c r="B603" s="152" t="s">
        <v>775</v>
      </c>
      <c r="C603" s="152" t="s">
        <v>773</v>
      </c>
      <c r="D603" s="161">
        <v>9910.6</v>
      </c>
      <c r="E603" s="136" t="s">
        <v>219</v>
      </c>
      <c r="F603" s="136" t="s">
        <v>711</v>
      </c>
      <c r="G603" s="136" t="s">
        <v>38</v>
      </c>
      <c r="H603" s="152" t="s">
        <v>778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dimension ref="A1:E2"/>
  <sheetViews>
    <sheetView workbookViewId="0">
      <selection sqref="A1:E2"/>
    </sheetView>
  </sheetViews>
  <sheetFormatPr defaultRowHeight="15"/>
  <cols>
    <col min="1" max="1" width="10.140625" customWidth="1"/>
    <col min="2" max="2" width="9.85546875" customWidth="1"/>
    <col min="3" max="3" width="13.5703125" customWidth="1"/>
    <col min="4" max="4" width="15.28515625" customWidth="1"/>
    <col min="5" max="5" width="12.7109375" customWidth="1"/>
  </cols>
  <sheetData>
    <row r="1" spans="1:5">
      <c r="A1" t="s">
        <v>794</v>
      </c>
      <c r="B1" t="s">
        <v>795</v>
      </c>
      <c r="C1" t="s">
        <v>796</v>
      </c>
      <c r="D1" t="s">
        <v>1138</v>
      </c>
      <c r="E1" t="s">
        <v>797</v>
      </c>
    </row>
    <row r="2" spans="1:5">
      <c r="A2" t="s">
        <v>798</v>
      </c>
      <c r="B2" t="s">
        <v>9</v>
      </c>
      <c r="C2">
        <v>3</v>
      </c>
      <c r="D2">
        <v>87</v>
      </c>
      <c r="E2">
        <v>261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I31"/>
  <sheetViews>
    <sheetView topLeftCell="B1" workbookViewId="0">
      <selection activeCell="H8" sqref="H8"/>
    </sheetView>
  </sheetViews>
  <sheetFormatPr defaultRowHeight="15"/>
  <cols>
    <col min="1" max="1" width="9.85546875" style="82" bestFit="1" customWidth="1"/>
    <col min="2" max="2" width="14.28515625" style="82" bestFit="1" customWidth="1"/>
    <col min="3" max="3" width="11.42578125" style="59" bestFit="1" customWidth="1"/>
    <col min="4" max="5" width="13.28515625" style="131" bestFit="1" customWidth="1"/>
    <col min="6" max="6" width="9.140625" style="59"/>
    <col min="7" max="7" width="18" style="59" bestFit="1" customWidth="1"/>
    <col min="8" max="8" width="18.85546875" style="59" bestFit="1" customWidth="1"/>
    <col min="9" max="16384" width="9.140625" style="59"/>
  </cols>
  <sheetData>
    <row r="1" spans="1:9">
      <c r="A1" s="229" t="s">
        <v>793</v>
      </c>
      <c r="B1" s="230"/>
      <c r="C1" s="230"/>
      <c r="D1" s="230"/>
      <c r="E1" s="231"/>
      <c r="G1" s="52" t="s">
        <v>794</v>
      </c>
      <c r="H1" t="s">
        <v>1131</v>
      </c>
      <c r="I1"/>
    </row>
    <row r="2" spans="1:9" ht="15.75" thickBot="1">
      <c r="A2" s="232"/>
      <c r="B2" s="233"/>
      <c r="C2" s="233"/>
      <c r="D2" s="233"/>
      <c r="E2" s="234"/>
      <c r="G2"/>
      <c r="H2"/>
      <c r="I2"/>
    </row>
    <row r="3" spans="1:9">
      <c r="A3" s="163" t="s">
        <v>794</v>
      </c>
      <c r="B3" s="164" t="s">
        <v>795</v>
      </c>
      <c r="C3" s="165" t="s">
        <v>796</v>
      </c>
      <c r="D3" s="165" t="s">
        <v>1138</v>
      </c>
      <c r="E3" s="166" t="s">
        <v>797</v>
      </c>
      <c r="G3" s="52" t="s">
        <v>1129</v>
      </c>
      <c r="H3" t="s">
        <v>1149</v>
      </c>
      <c r="I3"/>
    </row>
    <row r="4" spans="1:9">
      <c r="A4" s="167" t="s">
        <v>798</v>
      </c>
      <c r="B4" s="168" t="s">
        <v>9</v>
      </c>
      <c r="C4" s="178">
        <v>3</v>
      </c>
      <c r="D4" s="161">
        <v>87</v>
      </c>
      <c r="E4" s="169">
        <v>261</v>
      </c>
      <c r="G4" s="53" t="s">
        <v>802</v>
      </c>
      <c r="H4" s="54">
        <v>68320</v>
      </c>
      <c r="I4"/>
    </row>
    <row r="5" spans="1:9">
      <c r="A5" s="167" t="s">
        <v>799</v>
      </c>
      <c r="B5" s="168" t="s">
        <v>800</v>
      </c>
      <c r="C5" s="178">
        <v>5</v>
      </c>
      <c r="D5" s="161">
        <v>1200</v>
      </c>
      <c r="E5" s="169">
        <v>6000</v>
      </c>
      <c r="G5" s="53" t="s">
        <v>811</v>
      </c>
      <c r="H5" s="54">
        <v>15300</v>
      </c>
      <c r="I5"/>
    </row>
    <row r="6" spans="1:9">
      <c r="A6" s="167" t="s">
        <v>801</v>
      </c>
      <c r="B6" s="168" t="s">
        <v>802</v>
      </c>
      <c r="C6" s="178">
        <v>6</v>
      </c>
      <c r="D6" s="161">
        <v>350</v>
      </c>
      <c r="E6" s="169">
        <v>2100</v>
      </c>
      <c r="G6" s="53" t="s">
        <v>5</v>
      </c>
      <c r="H6" s="54">
        <v>4900</v>
      </c>
      <c r="I6"/>
    </row>
    <row r="7" spans="1:9">
      <c r="A7" s="167" t="s">
        <v>803</v>
      </c>
      <c r="B7" s="168" t="s">
        <v>5</v>
      </c>
      <c r="C7" s="178">
        <v>7</v>
      </c>
      <c r="D7" s="161">
        <v>700</v>
      </c>
      <c r="E7" s="169">
        <v>4900</v>
      </c>
      <c r="G7" s="53" t="s">
        <v>14</v>
      </c>
      <c r="H7" s="54">
        <v>126950</v>
      </c>
      <c r="I7"/>
    </row>
    <row r="8" spans="1:9">
      <c r="A8" s="167" t="s">
        <v>803</v>
      </c>
      <c r="B8" s="168" t="s">
        <v>15</v>
      </c>
      <c r="C8" s="178">
        <v>8</v>
      </c>
      <c r="D8" s="161">
        <v>3000</v>
      </c>
      <c r="E8" s="169">
        <v>24000</v>
      </c>
      <c r="G8" s="53" t="s">
        <v>11</v>
      </c>
      <c r="H8" s="54">
        <v>720</v>
      </c>
      <c r="I8"/>
    </row>
    <row r="9" spans="1:9">
      <c r="A9" s="167" t="s">
        <v>804</v>
      </c>
      <c r="B9" s="168" t="s">
        <v>805</v>
      </c>
      <c r="C9" s="178">
        <v>8</v>
      </c>
      <c r="D9" s="170">
        <v>220</v>
      </c>
      <c r="E9" s="169">
        <v>1760</v>
      </c>
      <c r="G9" s="53" t="s">
        <v>15</v>
      </c>
      <c r="H9" s="54">
        <v>49000</v>
      </c>
      <c r="I9"/>
    </row>
    <row r="10" spans="1:9">
      <c r="A10" s="167" t="s">
        <v>798</v>
      </c>
      <c r="B10" s="168" t="s">
        <v>11</v>
      </c>
      <c r="C10" s="178">
        <v>9</v>
      </c>
      <c r="D10" s="161">
        <v>80</v>
      </c>
      <c r="E10" s="169">
        <v>720</v>
      </c>
      <c r="G10" s="53" t="s">
        <v>810</v>
      </c>
      <c r="H10" s="54">
        <v>36000</v>
      </c>
      <c r="I10"/>
    </row>
    <row r="11" spans="1:9">
      <c r="A11" s="167" t="s">
        <v>806</v>
      </c>
      <c r="B11" s="168" t="s">
        <v>15</v>
      </c>
      <c r="C11" s="178">
        <v>10</v>
      </c>
      <c r="D11" s="161">
        <v>2500</v>
      </c>
      <c r="E11" s="169">
        <v>25000</v>
      </c>
      <c r="G11" s="53" t="s">
        <v>9</v>
      </c>
      <c r="H11" s="54">
        <v>261</v>
      </c>
      <c r="I11"/>
    </row>
    <row r="12" spans="1:9">
      <c r="A12" s="167" t="s">
        <v>801</v>
      </c>
      <c r="B12" s="168" t="s">
        <v>802</v>
      </c>
      <c r="C12" s="178">
        <v>11</v>
      </c>
      <c r="D12" s="161">
        <v>350</v>
      </c>
      <c r="E12" s="169">
        <v>3850</v>
      </c>
      <c r="G12" s="53" t="s">
        <v>800</v>
      </c>
      <c r="H12" s="54">
        <v>73872</v>
      </c>
      <c r="I12"/>
    </row>
    <row r="13" spans="1:9">
      <c r="A13" s="167" t="s">
        <v>807</v>
      </c>
      <c r="B13" s="168" t="s">
        <v>800</v>
      </c>
      <c r="C13" s="178">
        <v>12</v>
      </c>
      <c r="D13" s="161">
        <v>1200</v>
      </c>
      <c r="E13" s="169">
        <v>14400</v>
      </c>
      <c r="G13" s="53" t="s">
        <v>812</v>
      </c>
      <c r="H13" s="54">
        <v>56000</v>
      </c>
      <c r="I13"/>
    </row>
    <row r="14" spans="1:9">
      <c r="A14" s="167" t="s">
        <v>808</v>
      </c>
      <c r="B14" s="168" t="s">
        <v>802</v>
      </c>
      <c r="C14" s="178">
        <v>12</v>
      </c>
      <c r="D14" s="161">
        <v>220</v>
      </c>
      <c r="E14" s="169">
        <v>2640</v>
      </c>
      <c r="G14" s="53" t="s">
        <v>1148</v>
      </c>
      <c r="H14" s="54">
        <v>431323</v>
      </c>
      <c r="I14"/>
    </row>
    <row r="15" spans="1:9">
      <c r="A15" s="167" t="s">
        <v>804</v>
      </c>
      <c r="B15" s="168" t="s">
        <v>14</v>
      </c>
      <c r="C15" s="178">
        <v>12</v>
      </c>
      <c r="D15" s="161">
        <v>500</v>
      </c>
      <c r="E15" s="169">
        <v>6000</v>
      </c>
      <c r="G15"/>
      <c r="H15"/>
      <c r="I15"/>
    </row>
    <row r="16" spans="1:9">
      <c r="A16" s="167" t="s">
        <v>804</v>
      </c>
      <c r="B16" s="168" t="s">
        <v>802</v>
      </c>
      <c r="C16" s="178">
        <v>12</v>
      </c>
      <c r="D16" s="161">
        <v>200</v>
      </c>
      <c r="E16" s="169">
        <v>2400</v>
      </c>
      <c r="G16"/>
      <c r="H16"/>
      <c r="I16"/>
    </row>
    <row r="17" spans="1:9">
      <c r="A17" s="167" t="s">
        <v>806</v>
      </c>
      <c r="B17" s="168" t="s">
        <v>800</v>
      </c>
      <c r="C17" s="178">
        <v>12</v>
      </c>
      <c r="D17" s="161">
        <v>456</v>
      </c>
      <c r="E17" s="169">
        <v>5472</v>
      </c>
      <c r="G17"/>
      <c r="H17"/>
      <c r="I17"/>
    </row>
    <row r="18" spans="1:9">
      <c r="A18" s="167" t="s">
        <v>808</v>
      </c>
      <c r="B18" s="168" t="s">
        <v>14</v>
      </c>
      <c r="C18" s="178">
        <v>13</v>
      </c>
      <c r="D18" s="161">
        <v>700</v>
      </c>
      <c r="E18" s="169">
        <v>9100</v>
      </c>
      <c r="G18"/>
      <c r="H18"/>
      <c r="I18"/>
    </row>
    <row r="19" spans="1:9">
      <c r="A19" s="167" t="s">
        <v>804</v>
      </c>
      <c r="B19" s="168" t="s">
        <v>14</v>
      </c>
      <c r="C19" s="178">
        <v>15</v>
      </c>
      <c r="D19" s="161">
        <v>750</v>
      </c>
      <c r="E19" s="169">
        <v>11250</v>
      </c>
      <c r="G19"/>
      <c r="H19"/>
    </row>
    <row r="20" spans="1:9">
      <c r="A20" s="167" t="s">
        <v>804</v>
      </c>
      <c r="B20" s="168" t="s">
        <v>802</v>
      </c>
      <c r="C20" s="178">
        <v>15</v>
      </c>
      <c r="D20" s="161">
        <v>356</v>
      </c>
      <c r="E20" s="169">
        <v>5340</v>
      </c>
      <c r="G20"/>
      <c r="H20"/>
    </row>
    <row r="21" spans="1:9">
      <c r="A21" s="167" t="s">
        <v>808</v>
      </c>
      <c r="B21" s="168" t="s">
        <v>809</v>
      </c>
      <c r="C21" s="178">
        <v>32</v>
      </c>
      <c r="D21" s="161">
        <v>1500</v>
      </c>
      <c r="E21" s="169">
        <v>48000</v>
      </c>
      <c r="G21"/>
      <c r="H21"/>
    </row>
    <row r="22" spans="1:9">
      <c r="A22" s="167" t="s">
        <v>799</v>
      </c>
      <c r="B22" s="168" t="s">
        <v>810</v>
      </c>
      <c r="C22" s="178">
        <v>45</v>
      </c>
      <c r="D22" s="161">
        <v>800</v>
      </c>
      <c r="E22" s="169">
        <v>36000</v>
      </c>
      <c r="G22"/>
      <c r="H22"/>
    </row>
    <row r="23" spans="1:9">
      <c r="A23" s="167" t="s">
        <v>804</v>
      </c>
      <c r="B23" s="168" t="s">
        <v>811</v>
      </c>
      <c r="C23" s="178">
        <v>51</v>
      </c>
      <c r="D23" s="161">
        <v>300</v>
      </c>
      <c r="E23" s="169">
        <v>15300</v>
      </c>
      <c r="G23"/>
      <c r="H23"/>
    </row>
    <row r="24" spans="1:9">
      <c r="A24" s="167" t="s">
        <v>807</v>
      </c>
      <c r="B24" s="168" t="s">
        <v>14</v>
      </c>
      <c r="C24" s="178">
        <v>65</v>
      </c>
      <c r="D24" s="161">
        <v>400</v>
      </c>
      <c r="E24" s="169">
        <v>26000</v>
      </c>
      <c r="G24"/>
      <c r="H24"/>
    </row>
    <row r="25" spans="1:9">
      <c r="A25" s="167" t="s">
        <v>798</v>
      </c>
      <c r="B25" s="168" t="s">
        <v>812</v>
      </c>
      <c r="C25" s="178">
        <v>65</v>
      </c>
      <c r="D25" s="161">
        <v>400</v>
      </c>
      <c r="E25" s="169">
        <v>26000</v>
      </c>
      <c r="G25"/>
      <c r="H25"/>
    </row>
    <row r="26" spans="1:9">
      <c r="A26" s="167" t="s">
        <v>806</v>
      </c>
      <c r="B26" s="171" t="s">
        <v>14</v>
      </c>
      <c r="C26" s="179">
        <v>65</v>
      </c>
      <c r="D26" s="172">
        <v>600</v>
      </c>
      <c r="E26" s="169">
        <v>39000</v>
      </c>
      <c r="G26"/>
      <c r="H26"/>
    </row>
    <row r="27" spans="1:9">
      <c r="A27" s="167" t="s">
        <v>801</v>
      </c>
      <c r="B27" s="171" t="s">
        <v>802</v>
      </c>
      <c r="C27" s="179">
        <v>74</v>
      </c>
      <c r="D27" s="172">
        <v>220</v>
      </c>
      <c r="E27" s="169">
        <v>16280</v>
      </c>
      <c r="G27"/>
      <c r="H27"/>
    </row>
    <row r="28" spans="1:9">
      <c r="A28" s="173" t="s">
        <v>798</v>
      </c>
      <c r="B28" s="171" t="s">
        <v>812</v>
      </c>
      <c r="C28" s="179">
        <v>75</v>
      </c>
      <c r="D28" s="172">
        <v>400</v>
      </c>
      <c r="E28" s="169">
        <v>30000</v>
      </c>
      <c r="G28"/>
      <c r="H28"/>
    </row>
    <row r="29" spans="1:9">
      <c r="A29" s="173" t="s">
        <v>807</v>
      </c>
      <c r="B29" s="171" t="s">
        <v>14</v>
      </c>
      <c r="C29" s="179">
        <v>89</v>
      </c>
      <c r="D29" s="172">
        <v>400</v>
      </c>
      <c r="E29" s="169">
        <v>35600</v>
      </c>
      <c r="G29"/>
      <c r="H29"/>
    </row>
    <row r="30" spans="1:9" ht="15.75" thickBot="1">
      <c r="A30" s="174" t="s">
        <v>801</v>
      </c>
      <c r="B30" s="175" t="s">
        <v>802</v>
      </c>
      <c r="C30" s="180">
        <v>97</v>
      </c>
      <c r="D30" s="176">
        <v>350</v>
      </c>
      <c r="E30" s="177">
        <v>33950</v>
      </c>
      <c r="G30"/>
      <c r="H30"/>
    </row>
    <row r="31" spans="1:9">
      <c r="G31"/>
      <c r="H31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/>
  <dimension ref="A1:B13"/>
  <sheetViews>
    <sheetView topLeftCell="B1" workbookViewId="0"/>
  </sheetViews>
  <sheetFormatPr defaultRowHeight="15"/>
  <cols>
    <col min="1" max="1" width="18" customWidth="1"/>
    <col min="2" max="2" width="15.7109375" bestFit="1" customWidth="1"/>
  </cols>
  <sheetData>
    <row r="1" spans="1:2">
      <c r="A1" s="52" t="s">
        <v>1129</v>
      </c>
      <c r="B1" t="s">
        <v>1161</v>
      </c>
    </row>
    <row r="2" spans="1:2">
      <c r="A2" s="53" t="s">
        <v>1151</v>
      </c>
      <c r="B2" s="54">
        <v>80003.34</v>
      </c>
    </row>
    <row r="3" spans="1:2">
      <c r="A3" s="53" t="s">
        <v>1152</v>
      </c>
      <c r="B3" s="54">
        <v>169321.12</v>
      </c>
    </row>
    <row r="4" spans="1:2">
      <c r="A4" s="53" t="s">
        <v>1153</v>
      </c>
      <c r="B4" s="54">
        <v>398763.9599999999</v>
      </c>
    </row>
    <row r="5" spans="1:2">
      <c r="A5" s="53" t="s">
        <v>1154</v>
      </c>
      <c r="B5" s="54">
        <v>145760.69999999998</v>
      </c>
    </row>
    <row r="6" spans="1:2">
      <c r="A6" s="53" t="s">
        <v>1155</v>
      </c>
      <c r="B6" s="54">
        <v>483574.78</v>
      </c>
    </row>
    <row r="7" spans="1:2">
      <c r="A7" s="53" t="s">
        <v>1156</v>
      </c>
      <c r="B7" s="54">
        <v>314279.43</v>
      </c>
    </row>
    <row r="8" spans="1:2">
      <c r="A8" s="53" t="s">
        <v>1157</v>
      </c>
      <c r="B8" s="54">
        <v>35462.67</v>
      </c>
    </row>
    <row r="9" spans="1:2">
      <c r="A9" s="53" t="s">
        <v>1158</v>
      </c>
      <c r="B9" s="54">
        <v>179203.44999999998</v>
      </c>
    </row>
    <row r="10" spans="1:2">
      <c r="A10" s="53" t="s">
        <v>983</v>
      </c>
      <c r="B10" s="54">
        <v>237454.93000000002</v>
      </c>
    </row>
    <row r="11" spans="1:2">
      <c r="A11" s="53" t="s">
        <v>1159</v>
      </c>
      <c r="B11" s="54">
        <v>1947639.6</v>
      </c>
    </row>
    <row r="12" spans="1:2">
      <c r="A12" s="53" t="s">
        <v>1160</v>
      </c>
      <c r="B12" s="54">
        <v>2742459.6399999992</v>
      </c>
    </row>
    <row r="13" spans="1:2">
      <c r="A13" s="53" t="s">
        <v>1148</v>
      </c>
      <c r="B13" s="54">
        <v>6733923.6199999992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dimension ref="A1:N878"/>
  <sheetViews>
    <sheetView workbookViewId="0"/>
  </sheetViews>
  <sheetFormatPr defaultRowHeight="15"/>
  <cols>
    <col min="1" max="1" width="18.140625" bestFit="1" customWidth="1"/>
    <col min="2" max="2" width="16.140625" bestFit="1" customWidth="1"/>
    <col min="3" max="3" width="20.28515625" bestFit="1" customWidth="1"/>
    <col min="4" max="4" width="13.85546875" bestFit="1" customWidth="1"/>
    <col min="5" max="5" width="14.28515625" bestFit="1" customWidth="1"/>
    <col min="6" max="6" width="12.28515625" bestFit="1" customWidth="1"/>
    <col min="7" max="7" width="3.85546875" bestFit="1" customWidth="1"/>
    <col min="8" max="8" width="8.140625" bestFit="1" customWidth="1"/>
    <col min="9" max="9" width="33.140625" bestFit="1" customWidth="1"/>
    <col min="10" max="10" width="41.7109375" bestFit="1" customWidth="1"/>
    <col min="11" max="11" width="16.5703125" bestFit="1" customWidth="1"/>
    <col min="12" max="12" width="16.42578125" bestFit="1" customWidth="1"/>
    <col min="13" max="13" width="13.5703125" bestFit="1" customWidth="1"/>
    <col min="14" max="14" width="14" bestFit="1" customWidth="1"/>
  </cols>
  <sheetData>
    <row r="1" spans="1:14">
      <c r="A1" t="s">
        <v>1162</v>
      </c>
      <c r="B1" t="s">
        <v>1163</v>
      </c>
      <c r="C1" t="s">
        <v>1164</v>
      </c>
      <c r="D1" t="s">
        <v>1165</v>
      </c>
      <c r="E1" t="s">
        <v>1166</v>
      </c>
      <c r="F1" t="s">
        <v>1167</v>
      </c>
      <c r="G1" t="s">
        <v>1168</v>
      </c>
      <c r="H1" t="s">
        <v>1169</v>
      </c>
      <c r="I1" t="s">
        <v>1170</v>
      </c>
      <c r="J1" t="s">
        <v>1171</v>
      </c>
      <c r="K1" t="s">
        <v>1172</v>
      </c>
      <c r="L1" t="s">
        <v>1173</v>
      </c>
      <c r="M1" t="s">
        <v>1174</v>
      </c>
      <c r="N1" t="s">
        <v>1175</v>
      </c>
    </row>
    <row r="2" spans="1:14">
      <c r="A2">
        <v>10248</v>
      </c>
      <c r="B2" t="s">
        <v>1176</v>
      </c>
      <c r="C2">
        <v>5</v>
      </c>
      <c r="D2" s="213">
        <v>35250</v>
      </c>
      <c r="E2" s="213">
        <v>35278</v>
      </c>
      <c r="F2" s="213">
        <v>35262</v>
      </c>
      <c r="G2">
        <v>3</v>
      </c>
      <c r="H2">
        <v>32.380000000000003</v>
      </c>
      <c r="I2" t="s">
        <v>1177</v>
      </c>
      <c r="J2" t="s">
        <v>1178</v>
      </c>
      <c r="K2" t="s">
        <v>1179</v>
      </c>
      <c r="M2">
        <v>51100</v>
      </c>
      <c r="N2" t="s">
        <v>824</v>
      </c>
    </row>
    <row r="3" spans="1:14">
      <c r="A3">
        <v>10249</v>
      </c>
      <c r="B3" t="s">
        <v>1180</v>
      </c>
      <c r="C3">
        <v>6</v>
      </c>
      <c r="D3" s="213">
        <v>35251</v>
      </c>
      <c r="E3" s="213">
        <v>35293</v>
      </c>
      <c r="F3" s="213">
        <v>35256</v>
      </c>
      <c r="G3">
        <v>1</v>
      </c>
      <c r="H3">
        <v>11.61</v>
      </c>
      <c r="I3" t="s">
        <v>1181</v>
      </c>
      <c r="J3" t="s">
        <v>1182</v>
      </c>
      <c r="K3" t="s">
        <v>1183</v>
      </c>
      <c r="M3">
        <v>44087</v>
      </c>
      <c r="N3" t="s">
        <v>1184</v>
      </c>
    </row>
    <row r="4" spans="1:14">
      <c r="A4">
        <v>10250</v>
      </c>
      <c r="B4" t="s">
        <v>1185</v>
      </c>
      <c r="C4">
        <v>4</v>
      </c>
      <c r="D4" s="213">
        <v>35254</v>
      </c>
      <c r="E4" s="213">
        <v>35282</v>
      </c>
      <c r="F4" s="213">
        <v>35258</v>
      </c>
      <c r="G4">
        <v>2</v>
      </c>
      <c r="H4">
        <v>65.83</v>
      </c>
      <c r="I4" t="s">
        <v>1186</v>
      </c>
      <c r="J4" t="s">
        <v>1187</v>
      </c>
      <c r="K4" t="s">
        <v>1158</v>
      </c>
      <c r="L4" t="s">
        <v>57</v>
      </c>
      <c r="M4" t="s">
        <v>1188</v>
      </c>
      <c r="N4" t="s">
        <v>831</v>
      </c>
    </row>
    <row r="5" spans="1:14">
      <c r="A5">
        <v>10251</v>
      </c>
      <c r="B5" t="s">
        <v>1189</v>
      </c>
      <c r="C5">
        <v>3</v>
      </c>
      <c r="D5" s="213">
        <v>35254</v>
      </c>
      <c r="E5" s="213">
        <v>35282</v>
      </c>
      <c r="F5" s="213">
        <v>35261</v>
      </c>
      <c r="G5">
        <v>1</v>
      </c>
      <c r="H5">
        <v>41.34</v>
      </c>
      <c r="I5" t="s">
        <v>1190</v>
      </c>
      <c r="J5" t="s">
        <v>1191</v>
      </c>
      <c r="K5" t="s">
        <v>1192</v>
      </c>
      <c r="M5">
        <v>69004</v>
      </c>
      <c r="N5" t="s">
        <v>824</v>
      </c>
    </row>
    <row r="6" spans="1:14">
      <c r="A6">
        <v>10252</v>
      </c>
      <c r="B6" t="s">
        <v>1193</v>
      </c>
      <c r="C6">
        <v>4</v>
      </c>
      <c r="D6" s="213">
        <v>35255</v>
      </c>
      <c r="E6" s="213">
        <v>35283</v>
      </c>
      <c r="F6" s="213">
        <v>35257</v>
      </c>
      <c r="G6">
        <v>2</v>
      </c>
      <c r="H6">
        <v>51.3</v>
      </c>
      <c r="I6" t="s">
        <v>1194</v>
      </c>
      <c r="J6" t="s">
        <v>1195</v>
      </c>
      <c r="K6" t="s">
        <v>1196</v>
      </c>
      <c r="M6" t="s">
        <v>1197</v>
      </c>
      <c r="N6" t="s">
        <v>833</v>
      </c>
    </row>
    <row r="7" spans="1:14">
      <c r="A7">
        <v>10253</v>
      </c>
      <c r="B7" t="s">
        <v>1185</v>
      </c>
      <c r="C7">
        <v>3</v>
      </c>
      <c r="D7" s="213">
        <v>35256</v>
      </c>
      <c r="E7" s="213">
        <v>35270</v>
      </c>
      <c r="F7" s="213">
        <v>35262</v>
      </c>
      <c r="G7">
        <v>2</v>
      </c>
      <c r="H7">
        <v>58.17</v>
      </c>
      <c r="I7" t="s">
        <v>1186</v>
      </c>
      <c r="J7" t="s">
        <v>1187</v>
      </c>
      <c r="K7" t="s">
        <v>1158</v>
      </c>
      <c r="L7" t="s">
        <v>57</v>
      </c>
      <c r="M7" t="s">
        <v>1188</v>
      </c>
      <c r="N7" t="s">
        <v>831</v>
      </c>
    </row>
    <row r="8" spans="1:14">
      <c r="A8">
        <v>10254</v>
      </c>
      <c r="B8" t="s">
        <v>1198</v>
      </c>
      <c r="C8">
        <v>5</v>
      </c>
      <c r="D8" s="213">
        <v>35257</v>
      </c>
      <c r="E8" s="213">
        <v>35285</v>
      </c>
      <c r="F8" s="213">
        <v>35269</v>
      </c>
      <c r="G8">
        <v>2</v>
      </c>
      <c r="H8">
        <v>22.98</v>
      </c>
      <c r="I8" t="s">
        <v>1199</v>
      </c>
      <c r="J8" t="s">
        <v>1200</v>
      </c>
      <c r="K8" t="s">
        <v>1201</v>
      </c>
      <c r="M8">
        <v>3012</v>
      </c>
      <c r="N8" t="s">
        <v>1202</v>
      </c>
    </row>
    <row r="9" spans="1:14">
      <c r="A9">
        <v>10255</v>
      </c>
      <c r="B9" t="s">
        <v>1203</v>
      </c>
      <c r="C9">
        <v>9</v>
      </c>
      <c r="D9" s="213">
        <v>35258</v>
      </c>
      <c r="E9" s="213">
        <v>35286</v>
      </c>
      <c r="F9" s="213">
        <v>35261</v>
      </c>
      <c r="G9">
        <v>3</v>
      </c>
      <c r="H9">
        <v>148.33000000000001</v>
      </c>
      <c r="I9" t="s">
        <v>1204</v>
      </c>
      <c r="J9" t="s">
        <v>1205</v>
      </c>
      <c r="K9" t="s">
        <v>1206</v>
      </c>
      <c r="M9">
        <v>1204</v>
      </c>
      <c r="N9" t="s">
        <v>1202</v>
      </c>
    </row>
    <row r="10" spans="1:14">
      <c r="A10">
        <v>10256</v>
      </c>
      <c r="B10" t="s">
        <v>1207</v>
      </c>
      <c r="C10">
        <v>3</v>
      </c>
      <c r="D10" s="213">
        <v>35261</v>
      </c>
      <c r="E10" s="213">
        <v>35289</v>
      </c>
      <c r="F10" s="213">
        <v>35263</v>
      </c>
      <c r="G10">
        <v>2</v>
      </c>
      <c r="H10">
        <v>13.97</v>
      </c>
      <c r="I10" t="s">
        <v>1208</v>
      </c>
      <c r="J10" t="s">
        <v>1209</v>
      </c>
      <c r="K10" t="s">
        <v>1210</v>
      </c>
      <c r="L10" t="s">
        <v>38</v>
      </c>
      <c r="M10" t="s">
        <v>1211</v>
      </c>
      <c r="N10" t="s">
        <v>831</v>
      </c>
    </row>
    <row r="11" spans="1:14">
      <c r="A11">
        <v>10257</v>
      </c>
      <c r="B11" t="s">
        <v>1212</v>
      </c>
      <c r="C11">
        <v>4</v>
      </c>
      <c r="D11" s="213">
        <v>35262</v>
      </c>
      <c r="E11" s="213">
        <v>35290</v>
      </c>
      <c r="F11" s="213">
        <v>35268</v>
      </c>
      <c r="G11">
        <v>3</v>
      </c>
      <c r="H11">
        <v>81.91</v>
      </c>
      <c r="I11" t="s">
        <v>1213</v>
      </c>
      <c r="J11" t="s">
        <v>1214</v>
      </c>
      <c r="K11" t="s">
        <v>1215</v>
      </c>
      <c r="L11" t="s">
        <v>1216</v>
      </c>
      <c r="M11">
        <v>5022</v>
      </c>
      <c r="N11" t="s">
        <v>1217</v>
      </c>
    </row>
    <row r="12" spans="1:14">
      <c r="A12">
        <v>10258</v>
      </c>
      <c r="B12" t="s">
        <v>1218</v>
      </c>
      <c r="C12">
        <v>1</v>
      </c>
      <c r="D12" s="213">
        <v>35263</v>
      </c>
      <c r="E12" s="213">
        <v>35291</v>
      </c>
      <c r="F12" s="213">
        <v>35269</v>
      </c>
      <c r="G12">
        <v>1</v>
      </c>
      <c r="H12">
        <v>140.51</v>
      </c>
      <c r="I12" t="s">
        <v>1219</v>
      </c>
      <c r="J12" t="s">
        <v>1220</v>
      </c>
      <c r="K12" t="s">
        <v>1221</v>
      </c>
      <c r="M12">
        <v>8010</v>
      </c>
      <c r="N12" t="s">
        <v>1222</v>
      </c>
    </row>
    <row r="13" spans="1:14">
      <c r="A13">
        <v>10259</v>
      </c>
      <c r="B13" t="s">
        <v>1223</v>
      </c>
      <c r="C13">
        <v>4</v>
      </c>
      <c r="D13" s="213">
        <v>35264</v>
      </c>
      <c r="E13" s="213">
        <v>35292</v>
      </c>
      <c r="F13" s="213">
        <v>35271</v>
      </c>
      <c r="G13">
        <v>3</v>
      </c>
      <c r="H13">
        <v>3.25</v>
      </c>
      <c r="I13" t="s">
        <v>1224</v>
      </c>
      <c r="J13" t="s">
        <v>1225</v>
      </c>
      <c r="K13" t="s">
        <v>1226</v>
      </c>
      <c r="M13">
        <v>5022</v>
      </c>
      <c r="N13" t="s">
        <v>1227</v>
      </c>
    </row>
    <row r="14" spans="1:14">
      <c r="A14">
        <v>10260</v>
      </c>
      <c r="B14" t="s">
        <v>1228</v>
      </c>
      <c r="C14">
        <v>4</v>
      </c>
      <c r="D14" s="213">
        <v>35265</v>
      </c>
      <c r="E14" s="213">
        <v>35293</v>
      </c>
      <c r="F14" s="213">
        <v>35275</v>
      </c>
      <c r="G14">
        <v>1</v>
      </c>
      <c r="H14">
        <v>55.09</v>
      </c>
      <c r="I14" t="s">
        <v>1229</v>
      </c>
      <c r="J14" t="s">
        <v>1230</v>
      </c>
      <c r="K14" t="s">
        <v>1231</v>
      </c>
      <c r="M14">
        <v>50739</v>
      </c>
      <c r="N14" t="s">
        <v>1184</v>
      </c>
    </row>
    <row r="15" spans="1:14">
      <c r="A15">
        <v>10261</v>
      </c>
      <c r="B15" t="s">
        <v>1232</v>
      </c>
      <c r="C15">
        <v>4</v>
      </c>
      <c r="D15" s="213">
        <v>35265</v>
      </c>
      <c r="E15" s="213">
        <v>35293</v>
      </c>
      <c r="F15" s="213">
        <v>35276</v>
      </c>
      <c r="G15">
        <v>2</v>
      </c>
      <c r="H15">
        <v>3.05</v>
      </c>
      <c r="I15" t="s">
        <v>1233</v>
      </c>
      <c r="J15" t="s">
        <v>1234</v>
      </c>
      <c r="K15" t="s">
        <v>1158</v>
      </c>
      <c r="L15" t="s">
        <v>57</v>
      </c>
      <c r="M15" t="s">
        <v>1235</v>
      </c>
      <c r="N15" t="s">
        <v>831</v>
      </c>
    </row>
    <row r="16" spans="1:14">
      <c r="A16">
        <v>10262</v>
      </c>
      <c r="B16" t="s">
        <v>1236</v>
      </c>
      <c r="C16">
        <v>8</v>
      </c>
      <c r="D16" s="213">
        <v>35268</v>
      </c>
      <c r="E16" s="213">
        <v>35296</v>
      </c>
      <c r="F16" s="213">
        <v>35271</v>
      </c>
      <c r="G16">
        <v>3</v>
      </c>
      <c r="H16">
        <v>48.29</v>
      </c>
      <c r="I16" t="s">
        <v>1237</v>
      </c>
      <c r="J16" t="s">
        <v>1238</v>
      </c>
      <c r="K16" t="s">
        <v>1239</v>
      </c>
      <c r="L16" t="s">
        <v>1240</v>
      </c>
      <c r="M16">
        <v>87110</v>
      </c>
      <c r="N16" t="s">
        <v>1241</v>
      </c>
    </row>
    <row r="17" spans="1:14">
      <c r="A17">
        <v>10263</v>
      </c>
      <c r="B17" t="s">
        <v>1218</v>
      </c>
      <c r="C17">
        <v>9</v>
      </c>
      <c r="D17" s="213">
        <v>35269</v>
      </c>
      <c r="E17" s="213">
        <v>35297</v>
      </c>
      <c r="F17" s="213">
        <v>35277</v>
      </c>
      <c r="G17">
        <v>3</v>
      </c>
      <c r="H17">
        <v>146.06</v>
      </c>
      <c r="I17" t="s">
        <v>1219</v>
      </c>
      <c r="J17" t="s">
        <v>1220</v>
      </c>
      <c r="K17" t="s">
        <v>1221</v>
      </c>
      <c r="M17">
        <v>8010</v>
      </c>
      <c r="N17" t="s">
        <v>1222</v>
      </c>
    </row>
    <row r="18" spans="1:14">
      <c r="A18">
        <v>10264</v>
      </c>
      <c r="B18" t="s">
        <v>1242</v>
      </c>
      <c r="C18">
        <v>6</v>
      </c>
      <c r="D18" s="213">
        <v>35270</v>
      </c>
      <c r="E18" s="213">
        <v>35298</v>
      </c>
      <c r="F18" s="213">
        <v>35300</v>
      </c>
      <c r="G18">
        <v>3</v>
      </c>
      <c r="H18">
        <v>3.67</v>
      </c>
      <c r="I18" t="s">
        <v>1243</v>
      </c>
      <c r="J18" t="s">
        <v>1244</v>
      </c>
      <c r="K18" t="s">
        <v>1245</v>
      </c>
      <c r="M18" t="s">
        <v>1246</v>
      </c>
      <c r="N18" t="s">
        <v>829</v>
      </c>
    </row>
    <row r="19" spans="1:14">
      <c r="A19">
        <v>10265</v>
      </c>
      <c r="B19" t="s">
        <v>1247</v>
      </c>
      <c r="C19">
        <v>2</v>
      </c>
      <c r="D19" s="213">
        <v>35271</v>
      </c>
      <c r="E19" s="213">
        <v>35299</v>
      </c>
      <c r="F19" s="213">
        <v>35289</v>
      </c>
      <c r="G19">
        <v>1</v>
      </c>
      <c r="H19">
        <v>55.28</v>
      </c>
      <c r="I19" t="s">
        <v>1248</v>
      </c>
      <c r="J19" t="s">
        <v>1249</v>
      </c>
      <c r="K19" t="s">
        <v>1250</v>
      </c>
      <c r="M19">
        <v>67000</v>
      </c>
      <c r="N19" t="s">
        <v>824</v>
      </c>
    </row>
    <row r="20" spans="1:14">
      <c r="A20">
        <v>10266</v>
      </c>
      <c r="B20" t="s">
        <v>1251</v>
      </c>
      <c r="C20">
        <v>3</v>
      </c>
      <c r="D20" s="213">
        <v>35272</v>
      </c>
      <c r="E20" s="213">
        <v>35314</v>
      </c>
      <c r="F20" s="213">
        <v>35277</v>
      </c>
      <c r="G20">
        <v>3</v>
      </c>
      <c r="H20">
        <v>25.73</v>
      </c>
      <c r="I20" t="s">
        <v>1252</v>
      </c>
      <c r="J20" t="s">
        <v>1253</v>
      </c>
      <c r="K20" t="s">
        <v>1254</v>
      </c>
      <c r="M20">
        <v>90110</v>
      </c>
      <c r="N20" t="s">
        <v>1255</v>
      </c>
    </row>
    <row r="21" spans="1:14">
      <c r="A21">
        <v>10267</v>
      </c>
      <c r="B21" t="s">
        <v>1256</v>
      </c>
      <c r="C21">
        <v>4</v>
      </c>
      <c r="D21" s="213">
        <v>35275</v>
      </c>
      <c r="E21" s="213">
        <v>35303</v>
      </c>
      <c r="F21" s="213">
        <v>35283</v>
      </c>
      <c r="G21">
        <v>1</v>
      </c>
      <c r="H21">
        <v>208.58</v>
      </c>
      <c r="I21" t="s">
        <v>1257</v>
      </c>
      <c r="J21" t="s">
        <v>1258</v>
      </c>
      <c r="K21" t="s">
        <v>1259</v>
      </c>
      <c r="M21">
        <v>80805</v>
      </c>
      <c r="N21" t="s">
        <v>1184</v>
      </c>
    </row>
    <row r="22" spans="1:14">
      <c r="A22">
        <v>10268</v>
      </c>
      <c r="B22" t="s">
        <v>1260</v>
      </c>
      <c r="C22">
        <v>8</v>
      </c>
      <c r="D22" s="213">
        <v>35276</v>
      </c>
      <c r="E22" s="213">
        <v>35304</v>
      </c>
      <c r="F22" s="213">
        <v>35279</v>
      </c>
      <c r="G22">
        <v>3</v>
      </c>
      <c r="H22">
        <v>66.290000000000006</v>
      </c>
      <c r="I22" t="s">
        <v>1261</v>
      </c>
      <c r="J22" t="s">
        <v>1262</v>
      </c>
      <c r="K22" t="s">
        <v>1263</v>
      </c>
      <c r="L22" t="s">
        <v>77</v>
      </c>
      <c r="M22">
        <v>1081</v>
      </c>
      <c r="N22" t="s">
        <v>1217</v>
      </c>
    </row>
    <row r="23" spans="1:14">
      <c r="A23">
        <v>10269</v>
      </c>
      <c r="B23" t="s">
        <v>1264</v>
      </c>
      <c r="C23">
        <v>5</v>
      </c>
      <c r="D23" s="213">
        <v>35277</v>
      </c>
      <c r="E23" s="213">
        <v>35291</v>
      </c>
      <c r="F23" s="213">
        <v>35286</v>
      </c>
      <c r="G23">
        <v>1</v>
      </c>
      <c r="H23">
        <v>4.5599999999999996</v>
      </c>
      <c r="I23" t="s">
        <v>1265</v>
      </c>
      <c r="J23" t="s">
        <v>1266</v>
      </c>
      <c r="K23" t="s">
        <v>1267</v>
      </c>
      <c r="L23" t="s">
        <v>1268</v>
      </c>
      <c r="M23">
        <v>98124</v>
      </c>
      <c r="N23" t="s">
        <v>1241</v>
      </c>
    </row>
    <row r="24" spans="1:14">
      <c r="A24">
        <v>10270</v>
      </c>
      <c r="B24" t="s">
        <v>1251</v>
      </c>
      <c r="C24">
        <v>1</v>
      </c>
      <c r="D24" s="213">
        <v>35278</v>
      </c>
      <c r="E24" s="213">
        <v>35306</v>
      </c>
      <c r="F24" s="213">
        <v>35279</v>
      </c>
      <c r="G24">
        <v>1</v>
      </c>
      <c r="H24">
        <v>136.54</v>
      </c>
      <c r="I24" t="s">
        <v>1252</v>
      </c>
      <c r="J24" t="s">
        <v>1253</v>
      </c>
      <c r="K24" t="s">
        <v>1254</v>
      </c>
      <c r="M24">
        <v>90110</v>
      </c>
      <c r="N24" t="s">
        <v>1255</v>
      </c>
    </row>
    <row r="25" spans="1:14">
      <c r="A25">
        <v>10271</v>
      </c>
      <c r="B25" t="s">
        <v>1269</v>
      </c>
      <c r="C25">
        <v>6</v>
      </c>
      <c r="D25" s="213">
        <v>35278</v>
      </c>
      <c r="E25" s="213">
        <v>35306</v>
      </c>
      <c r="F25" s="213">
        <v>35307</v>
      </c>
      <c r="G25">
        <v>2</v>
      </c>
      <c r="H25">
        <v>4.54</v>
      </c>
      <c r="I25" t="s">
        <v>1270</v>
      </c>
      <c r="J25" t="s">
        <v>1271</v>
      </c>
      <c r="K25" t="s">
        <v>1272</v>
      </c>
      <c r="L25" t="s">
        <v>1273</v>
      </c>
      <c r="M25">
        <v>82520</v>
      </c>
      <c r="N25" t="s">
        <v>1241</v>
      </c>
    </row>
    <row r="26" spans="1:14">
      <c r="A26">
        <v>10272</v>
      </c>
      <c r="B26" t="s">
        <v>1236</v>
      </c>
      <c r="C26">
        <v>6</v>
      </c>
      <c r="D26" s="213">
        <v>35279</v>
      </c>
      <c r="E26" s="213">
        <v>35307</v>
      </c>
      <c r="F26" s="213">
        <v>35283</v>
      </c>
      <c r="G26">
        <v>2</v>
      </c>
      <c r="H26">
        <v>98.03</v>
      </c>
      <c r="I26" t="s">
        <v>1237</v>
      </c>
      <c r="J26" t="s">
        <v>1238</v>
      </c>
      <c r="K26" t="s">
        <v>1239</v>
      </c>
      <c r="L26" t="s">
        <v>1240</v>
      </c>
      <c r="M26">
        <v>87110</v>
      </c>
      <c r="N26" t="s">
        <v>1241</v>
      </c>
    </row>
    <row r="27" spans="1:14">
      <c r="A27">
        <v>10273</v>
      </c>
      <c r="B27" t="s">
        <v>1274</v>
      </c>
      <c r="C27">
        <v>3</v>
      </c>
      <c r="D27" s="213">
        <v>35282</v>
      </c>
      <c r="E27" s="213">
        <v>35310</v>
      </c>
      <c r="F27" s="213">
        <v>35289</v>
      </c>
      <c r="G27">
        <v>3</v>
      </c>
      <c r="H27">
        <v>76.069999999999993</v>
      </c>
      <c r="I27" t="s">
        <v>1275</v>
      </c>
      <c r="J27" t="s">
        <v>1276</v>
      </c>
      <c r="K27" t="s">
        <v>1277</v>
      </c>
      <c r="M27">
        <v>1307</v>
      </c>
      <c r="N27" t="s">
        <v>1184</v>
      </c>
    </row>
    <row r="28" spans="1:14">
      <c r="A28">
        <v>10274</v>
      </c>
      <c r="B28" t="s">
        <v>1176</v>
      </c>
      <c r="C28">
        <v>6</v>
      </c>
      <c r="D28" s="213">
        <v>35283</v>
      </c>
      <c r="E28" s="213">
        <v>35311</v>
      </c>
      <c r="F28" s="213">
        <v>35293</v>
      </c>
      <c r="G28">
        <v>1</v>
      </c>
      <c r="H28">
        <v>6.01</v>
      </c>
      <c r="I28" t="s">
        <v>1177</v>
      </c>
      <c r="J28" t="s">
        <v>1178</v>
      </c>
      <c r="K28" t="s">
        <v>1179</v>
      </c>
      <c r="M28">
        <v>51100</v>
      </c>
      <c r="N28" t="s">
        <v>824</v>
      </c>
    </row>
    <row r="29" spans="1:14">
      <c r="A29">
        <v>10275</v>
      </c>
      <c r="B29" t="s">
        <v>1278</v>
      </c>
      <c r="C29">
        <v>1</v>
      </c>
      <c r="D29" s="213">
        <v>35284</v>
      </c>
      <c r="E29" s="213">
        <v>35312</v>
      </c>
      <c r="F29" s="213">
        <v>35286</v>
      </c>
      <c r="G29">
        <v>1</v>
      </c>
      <c r="H29">
        <v>26.93</v>
      </c>
      <c r="I29" t="s">
        <v>1279</v>
      </c>
      <c r="J29" t="s">
        <v>1280</v>
      </c>
      <c r="K29" t="s">
        <v>1281</v>
      </c>
      <c r="M29">
        <v>24100</v>
      </c>
      <c r="N29" t="s">
        <v>827</v>
      </c>
    </row>
    <row r="30" spans="1:14">
      <c r="A30">
        <v>10276</v>
      </c>
      <c r="B30" t="s">
        <v>1282</v>
      </c>
      <c r="C30">
        <v>8</v>
      </c>
      <c r="D30" s="213">
        <v>35285</v>
      </c>
      <c r="E30" s="213">
        <v>35299</v>
      </c>
      <c r="F30" s="213">
        <v>35291</v>
      </c>
      <c r="G30">
        <v>3</v>
      </c>
      <c r="H30">
        <v>13.84</v>
      </c>
      <c r="I30" t="s">
        <v>1283</v>
      </c>
      <c r="J30" t="s">
        <v>1284</v>
      </c>
      <c r="K30" t="s">
        <v>1226</v>
      </c>
      <c r="M30">
        <v>5033</v>
      </c>
      <c r="N30" t="s">
        <v>1227</v>
      </c>
    </row>
    <row r="31" spans="1:14">
      <c r="A31">
        <v>10277</v>
      </c>
      <c r="B31" t="s">
        <v>1285</v>
      </c>
      <c r="C31">
        <v>2</v>
      </c>
      <c r="D31" s="213">
        <v>35286</v>
      </c>
      <c r="E31" s="213">
        <v>35314</v>
      </c>
      <c r="F31" s="213">
        <v>35290</v>
      </c>
      <c r="G31">
        <v>3</v>
      </c>
      <c r="H31">
        <v>125.77</v>
      </c>
      <c r="I31" t="s">
        <v>1286</v>
      </c>
      <c r="J31" t="s">
        <v>1287</v>
      </c>
      <c r="K31" t="s">
        <v>1288</v>
      </c>
      <c r="M31">
        <v>4179</v>
      </c>
      <c r="N31" t="s">
        <v>1184</v>
      </c>
    </row>
    <row r="32" spans="1:14">
      <c r="A32">
        <v>10278</v>
      </c>
      <c r="B32" t="s">
        <v>1289</v>
      </c>
      <c r="C32">
        <v>8</v>
      </c>
      <c r="D32" s="213">
        <v>35289</v>
      </c>
      <c r="E32" s="213">
        <v>35317</v>
      </c>
      <c r="F32" s="213">
        <v>35293</v>
      </c>
      <c r="G32">
        <v>2</v>
      </c>
      <c r="H32">
        <v>92.69</v>
      </c>
      <c r="I32" t="s">
        <v>1290</v>
      </c>
      <c r="J32" t="s">
        <v>1291</v>
      </c>
      <c r="K32" t="s">
        <v>1292</v>
      </c>
      <c r="M32" t="s">
        <v>1293</v>
      </c>
      <c r="N32" t="s">
        <v>829</v>
      </c>
    </row>
    <row r="33" spans="1:14">
      <c r="A33">
        <v>10279</v>
      </c>
      <c r="B33" t="s">
        <v>1294</v>
      </c>
      <c r="C33">
        <v>8</v>
      </c>
      <c r="D33" s="213">
        <v>35290</v>
      </c>
      <c r="E33" s="213">
        <v>35318</v>
      </c>
      <c r="F33" s="213">
        <v>35293</v>
      </c>
      <c r="G33">
        <v>2</v>
      </c>
      <c r="H33">
        <v>25.83</v>
      </c>
      <c r="I33" t="s">
        <v>1295</v>
      </c>
      <c r="J33" t="s">
        <v>1296</v>
      </c>
      <c r="K33" t="s">
        <v>1297</v>
      </c>
      <c r="M33">
        <v>60528</v>
      </c>
      <c r="N33" t="s">
        <v>1184</v>
      </c>
    </row>
    <row r="34" spans="1:14">
      <c r="A34">
        <v>10280</v>
      </c>
      <c r="B34" t="s">
        <v>1289</v>
      </c>
      <c r="C34">
        <v>2</v>
      </c>
      <c r="D34" s="213">
        <v>35291</v>
      </c>
      <c r="E34" s="213">
        <v>35319</v>
      </c>
      <c r="F34" s="213">
        <v>35320</v>
      </c>
      <c r="G34">
        <v>1</v>
      </c>
      <c r="H34">
        <v>8.98</v>
      </c>
      <c r="I34" t="s">
        <v>1290</v>
      </c>
      <c r="J34" t="s">
        <v>1291</v>
      </c>
      <c r="K34" t="s">
        <v>1292</v>
      </c>
      <c r="M34" t="s">
        <v>1293</v>
      </c>
      <c r="N34" t="s">
        <v>829</v>
      </c>
    </row>
    <row r="35" spans="1:14">
      <c r="A35">
        <v>10281</v>
      </c>
      <c r="B35" t="s">
        <v>1298</v>
      </c>
      <c r="C35">
        <v>4</v>
      </c>
      <c r="D35" s="213">
        <v>35291</v>
      </c>
      <c r="E35" s="213">
        <v>35305</v>
      </c>
      <c r="F35" s="213">
        <v>35298</v>
      </c>
      <c r="G35">
        <v>1</v>
      </c>
      <c r="H35">
        <v>2.94</v>
      </c>
      <c r="I35" t="s">
        <v>1299</v>
      </c>
      <c r="J35" t="s">
        <v>1300</v>
      </c>
      <c r="K35" t="s">
        <v>1301</v>
      </c>
      <c r="M35">
        <v>28001</v>
      </c>
      <c r="N35" t="s">
        <v>1302</v>
      </c>
    </row>
    <row r="36" spans="1:14">
      <c r="A36">
        <v>10282</v>
      </c>
      <c r="B36" t="s">
        <v>1298</v>
      </c>
      <c r="C36">
        <v>4</v>
      </c>
      <c r="D36" s="213">
        <v>35292</v>
      </c>
      <c r="E36" s="213">
        <v>35320</v>
      </c>
      <c r="F36" s="213">
        <v>35298</v>
      </c>
      <c r="G36">
        <v>1</v>
      </c>
      <c r="H36">
        <v>12.69</v>
      </c>
      <c r="I36" t="s">
        <v>1299</v>
      </c>
      <c r="J36" t="s">
        <v>1300</v>
      </c>
      <c r="K36" t="s">
        <v>1301</v>
      </c>
      <c r="M36">
        <v>28001</v>
      </c>
      <c r="N36" t="s">
        <v>1302</v>
      </c>
    </row>
    <row r="37" spans="1:14">
      <c r="A37">
        <v>10283</v>
      </c>
      <c r="B37" t="s">
        <v>1303</v>
      </c>
      <c r="C37">
        <v>3</v>
      </c>
      <c r="D37" s="213">
        <v>35293</v>
      </c>
      <c r="E37" s="213">
        <v>35321</v>
      </c>
      <c r="F37" s="213">
        <v>35300</v>
      </c>
      <c r="G37">
        <v>3</v>
      </c>
      <c r="H37">
        <v>84.81</v>
      </c>
      <c r="I37" t="s">
        <v>1304</v>
      </c>
      <c r="J37" t="s">
        <v>1305</v>
      </c>
      <c r="K37" t="s">
        <v>1306</v>
      </c>
      <c r="L37" t="s">
        <v>1307</v>
      </c>
      <c r="M37">
        <v>3508</v>
      </c>
      <c r="N37" t="s">
        <v>1217</v>
      </c>
    </row>
    <row r="38" spans="1:14">
      <c r="A38">
        <v>10284</v>
      </c>
      <c r="B38" t="s">
        <v>1294</v>
      </c>
      <c r="C38">
        <v>4</v>
      </c>
      <c r="D38" s="213">
        <v>35296</v>
      </c>
      <c r="E38" s="213">
        <v>35324</v>
      </c>
      <c r="F38" s="213">
        <v>35304</v>
      </c>
      <c r="G38">
        <v>1</v>
      </c>
      <c r="H38">
        <v>76.56</v>
      </c>
      <c r="I38" t="s">
        <v>1295</v>
      </c>
      <c r="J38" t="s">
        <v>1296</v>
      </c>
      <c r="K38" t="s">
        <v>1297</v>
      </c>
      <c r="M38">
        <v>60528</v>
      </c>
      <c r="N38" t="s">
        <v>1184</v>
      </c>
    </row>
    <row r="39" spans="1:14">
      <c r="A39">
        <v>10285</v>
      </c>
      <c r="B39" t="s">
        <v>1274</v>
      </c>
      <c r="C39">
        <v>1</v>
      </c>
      <c r="D39" s="213">
        <v>35297</v>
      </c>
      <c r="E39" s="213">
        <v>35325</v>
      </c>
      <c r="F39" s="213">
        <v>35303</v>
      </c>
      <c r="G39">
        <v>2</v>
      </c>
      <c r="H39">
        <v>76.83</v>
      </c>
      <c r="I39" t="s">
        <v>1275</v>
      </c>
      <c r="J39" t="s">
        <v>1276</v>
      </c>
      <c r="K39" t="s">
        <v>1277</v>
      </c>
      <c r="M39">
        <v>1307</v>
      </c>
      <c r="N39" t="s">
        <v>1184</v>
      </c>
    </row>
    <row r="40" spans="1:14">
      <c r="A40">
        <v>10286</v>
      </c>
      <c r="B40" t="s">
        <v>1274</v>
      </c>
      <c r="C40">
        <v>8</v>
      </c>
      <c r="D40" s="213">
        <v>35298</v>
      </c>
      <c r="E40" s="213">
        <v>35326</v>
      </c>
      <c r="F40" s="213">
        <v>35307</v>
      </c>
      <c r="G40">
        <v>3</v>
      </c>
      <c r="H40">
        <v>229.24</v>
      </c>
      <c r="I40" t="s">
        <v>1275</v>
      </c>
      <c r="J40" t="s">
        <v>1276</v>
      </c>
      <c r="K40" t="s">
        <v>1277</v>
      </c>
      <c r="M40">
        <v>1307</v>
      </c>
      <c r="N40" t="s">
        <v>1184</v>
      </c>
    </row>
    <row r="41" spans="1:14">
      <c r="A41">
        <v>10287</v>
      </c>
      <c r="B41" t="s">
        <v>1308</v>
      </c>
      <c r="C41">
        <v>8</v>
      </c>
      <c r="D41" s="213">
        <v>35299</v>
      </c>
      <c r="E41" s="213">
        <v>35327</v>
      </c>
      <c r="F41" s="213">
        <v>35305</v>
      </c>
      <c r="G41">
        <v>3</v>
      </c>
      <c r="H41">
        <v>12.76</v>
      </c>
      <c r="I41" t="s">
        <v>1309</v>
      </c>
      <c r="J41" t="s">
        <v>1310</v>
      </c>
      <c r="K41" t="s">
        <v>1158</v>
      </c>
      <c r="L41" t="s">
        <v>57</v>
      </c>
      <c r="M41" t="s">
        <v>1311</v>
      </c>
      <c r="N41" t="s">
        <v>831</v>
      </c>
    </row>
    <row r="42" spans="1:14">
      <c r="A42">
        <v>10288</v>
      </c>
      <c r="B42" t="s">
        <v>1312</v>
      </c>
      <c r="C42">
        <v>4</v>
      </c>
      <c r="D42" s="213">
        <v>35300</v>
      </c>
      <c r="E42" s="213">
        <v>35328</v>
      </c>
      <c r="F42" s="213">
        <v>35311</v>
      </c>
      <c r="G42">
        <v>1</v>
      </c>
      <c r="H42">
        <v>7.45</v>
      </c>
      <c r="I42" t="s">
        <v>1313</v>
      </c>
      <c r="J42" t="s">
        <v>1314</v>
      </c>
      <c r="K42" t="s">
        <v>1315</v>
      </c>
      <c r="M42">
        <v>42100</v>
      </c>
      <c r="N42" t="s">
        <v>827</v>
      </c>
    </row>
    <row r="43" spans="1:14">
      <c r="A43">
        <v>10289</v>
      </c>
      <c r="B43" t="s">
        <v>1316</v>
      </c>
      <c r="C43">
        <v>7</v>
      </c>
      <c r="D43" s="213">
        <v>35303</v>
      </c>
      <c r="E43" s="213">
        <v>35331</v>
      </c>
      <c r="F43" s="213">
        <v>35305</v>
      </c>
      <c r="G43">
        <v>3</v>
      </c>
      <c r="H43">
        <v>22.77</v>
      </c>
      <c r="I43" t="s">
        <v>1317</v>
      </c>
      <c r="J43" t="s">
        <v>1318</v>
      </c>
      <c r="K43" t="s">
        <v>1319</v>
      </c>
      <c r="M43" t="s">
        <v>1320</v>
      </c>
      <c r="N43" t="s">
        <v>1321</v>
      </c>
    </row>
    <row r="44" spans="1:14">
      <c r="A44">
        <v>10290</v>
      </c>
      <c r="B44" t="s">
        <v>1322</v>
      </c>
      <c r="C44">
        <v>8</v>
      </c>
      <c r="D44" s="213">
        <v>35304</v>
      </c>
      <c r="E44" s="213">
        <v>35332</v>
      </c>
      <c r="F44" s="213">
        <v>35311</v>
      </c>
      <c r="G44">
        <v>1</v>
      </c>
      <c r="H44">
        <v>79.7</v>
      </c>
      <c r="I44" t="s">
        <v>1323</v>
      </c>
      <c r="J44" t="s">
        <v>1324</v>
      </c>
      <c r="K44" t="s">
        <v>983</v>
      </c>
      <c r="L44" t="s">
        <v>38</v>
      </c>
      <c r="M44" t="s">
        <v>1325</v>
      </c>
      <c r="N44" t="s">
        <v>831</v>
      </c>
    </row>
    <row r="45" spans="1:14">
      <c r="A45">
        <v>10291</v>
      </c>
      <c r="B45" t="s">
        <v>1232</v>
      </c>
      <c r="C45">
        <v>6</v>
      </c>
      <c r="D45" s="213">
        <v>35304</v>
      </c>
      <c r="E45" s="213">
        <v>35332</v>
      </c>
      <c r="F45" s="213">
        <v>35312</v>
      </c>
      <c r="G45">
        <v>2</v>
      </c>
      <c r="H45">
        <v>6.4</v>
      </c>
      <c r="I45" t="s">
        <v>1233</v>
      </c>
      <c r="J45" t="s">
        <v>1234</v>
      </c>
      <c r="K45" t="s">
        <v>1158</v>
      </c>
      <c r="L45" t="s">
        <v>57</v>
      </c>
      <c r="M45" t="s">
        <v>1235</v>
      </c>
      <c r="N45" t="s">
        <v>831</v>
      </c>
    </row>
    <row r="46" spans="1:14">
      <c r="A46">
        <v>10292</v>
      </c>
      <c r="B46" t="s">
        <v>1326</v>
      </c>
      <c r="C46">
        <v>1</v>
      </c>
      <c r="D46" s="213">
        <v>35305</v>
      </c>
      <c r="E46" s="213">
        <v>35333</v>
      </c>
      <c r="F46" s="213">
        <v>35310</v>
      </c>
      <c r="G46">
        <v>2</v>
      </c>
      <c r="H46">
        <v>1.35</v>
      </c>
      <c r="I46" t="s">
        <v>1327</v>
      </c>
      <c r="J46" t="s">
        <v>1328</v>
      </c>
      <c r="K46" t="s">
        <v>983</v>
      </c>
      <c r="L46" t="s">
        <v>38</v>
      </c>
      <c r="M46" t="s">
        <v>1329</v>
      </c>
      <c r="N46" t="s">
        <v>831</v>
      </c>
    </row>
    <row r="47" spans="1:14">
      <c r="A47">
        <v>10293</v>
      </c>
      <c r="B47" t="s">
        <v>1282</v>
      </c>
      <c r="C47">
        <v>1</v>
      </c>
      <c r="D47" s="213">
        <v>35306</v>
      </c>
      <c r="E47" s="213">
        <v>35334</v>
      </c>
      <c r="F47" s="213">
        <v>35319</v>
      </c>
      <c r="G47">
        <v>3</v>
      </c>
      <c r="H47">
        <v>21.18</v>
      </c>
      <c r="I47" t="s">
        <v>1283</v>
      </c>
      <c r="J47" t="s">
        <v>1284</v>
      </c>
      <c r="K47" t="s">
        <v>1226</v>
      </c>
      <c r="M47">
        <v>5033</v>
      </c>
      <c r="N47" t="s">
        <v>1227</v>
      </c>
    </row>
    <row r="48" spans="1:14">
      <c r="A48">
        <v>10294</v>
      </c>
      <c r="B48" t="s">
        <v>1236</v>
      </c>
      <c r="C48">
        <v>4</v>
      </c>
      <c r="D48" s="213">
        <v>35307</v>
      </c>
      <c r="E48" s="213">
        <v>35335</v>
      </c>
      <c r="F48" s="213">
        <v>35313</v>
      </c>
      <c r="G48">
        <v>2</v>
      </c>
      <c r="H48">
        <v>147.26</v>
      </c>
      <c r="I48" t="s">
        <v>1237</v>
      </c>
      <c r="J48" t="s">
        <v>1238</v>
      </c>
      <c r="K48" t="s">
        <v>1239</v>
      </c>
      <c r="L48" t="s">
        <v>1240</v>
      </c>
      <c r="M48">
        <v>87110</v>
      </c>
      <c r="N48" t="s">
        <v>1241</v>
      </c>
    </row>
    <row r="49" spans="1:14">
      <c r="A49">
        <v>10295</v>
      </c>
      <c r="B49" t="s">
        <v>1176</v>
      </c>
      <c r="C49">
        <v>2</v>
      </c>
      <c r="D49" s="213">
        <v>35310</v>
      </c>
      <c r="E49" s="213">
        <v>35338</v>
      </c>
      <c r="F49" s="213">
        <v>35318</v>
      </c>
      <c r="G49">
        <v>2</v>
      </c>
      <c r="H49">
        <v>1.1499999999999999</v>
      </c>
      <c r="I49" t="s">
        <v>1177</v>
      </c>
      <c r="J49" t="s">
        <v>1178</v>
      </c>
      <c r="K49" t="s">
        <v>1179</v>
      </c>
      <c r="M49">
        <v>51100</v>
      </c>
      <c r="N49" t="s">
        <v>824</v>
      </c>
    </row>
    <row r="50" spans="1:14">
      <c r="A50">
        <v>10296</v>
      </c>
      <c r="B50" t="s">
        <v>1303</v>
      </c>
      <c r="C50">
        <v>6</v>
      </c>
      <c r="D50" s="213">
        <v>35311</v>
      </c>
      <c r="E50" s="213">
        <v>35339</v>
      </c>
      <c r="F50" s="213">
        <v>35319</v>
      </c>
      <c r="G50">
        <v>1</v>
      </c>
      <c r="H50">
        <v>0.12</v>
      </c>
      <c r="I50" t="s">
        <v>1304</v>
      </c>
      <c r="J50" t="s">
        <v>1305</v>
      </c>
      <c r="K50" t="s">
        <v>1306</v>
      </c>
      <c r="L50" t="s">
        <v>1307</v>
      </c>
      <c r="M50">
        <v>3508</v>
      </c>
      <c r="N50" t="s">
        <v>1217</v>
      </c>
    </row>
    <row r="51" spans="1:14">
      <c r="A51">
        <v>10297</v>
      </c>
      <c r="B51" t="s">
        <v>1247</v>
      </c>
      <c r="C51">
        <v>5</v>
      </c>
      <c r="D51" s="213">
        <v>35312</v>
      </c>
      <c r="E51" s="213">
        <v>35354</v>
      </c>
      <c r="F51" s="213">
        <v>35318</v>
      </c>
      <c r="G51">
        <v>2</v>
      </c>
      <c r="H51">
        <v>5.74</v>
      </c>
      <c r="I51" t="s">
        <v>1248</v>
      </c>
      <c r="J51" t="s">
        <v>1249</v>
      </c>
      <c r="K51" t="s">
        <v>1250</v>
      </c>
      <c r="M51">
        <v>67000</v>
      </c>
      <c r="N51" t="s">
        <v>824</v>
      </c>
    </row>
    <row r="52" spans="1:14">
      <c r="A52">
        <v>10298</v>
      </c>
      <c r="B52" t="s">
        <v>1330</v>
      </c>
      <c r="C52">
        <v>6</v>
      </c>
      <c r="D52" s="213">
        <v>35313</v>
      </c>
      <c r="E52" s="213">
        <v>35341</v>
      </c>
      <c r="F52" s="213">
        <v>35319</v>
      </c>
      <c r="G52">
        <v>2</v>
      </c>
      <c r="H52">
        <v>168.22</v>
      </c>
      <c r="I52" t="s">
        <v>1331</v>
      </c>
      <c r="J52" t="s">
        <v>1332</v>
      </c>
      <c r="K52" t="s">
        <v>1333</v>
      </c>
      <c r="L52" t="s">
        <v>1334</v>
      </c>
      <c r="N52" t="s">
        <v>1335</v>
      </c>
    </row>
    <row r="53" spans="1:14">
      <c r="A53">
        <v>10299</v>
      </c>
      <c r="B53" t="s">
        <v>1308</v>
      </c>
      <c r="C53">
        <v>4</v>
      </c>
      <c r="D53" s="213">
        <v>35314</v>
      </c>
      <c r="E53" s="213">
        <v>35342</v>
      </c>
      <c r="F53" s="213">
        <v>35321</v>
      </c>
      <c r="G53">
        <v>2</v>
      </c>
      <c r="H53">
        <v>29.76</v>
      </c>
      <c r="I53" t="s">
        <v>1309</v>
      </c>
      <c r="J53" t="s">
        <v>1310</v>
      </c>
      <c r="K53" t="s">
        <v>1158</v>
      </c>
      <c r="L53" t="s">
        <v>57</v>
      </c>
      <c r="M53" t="s">
        <v>1311</v>
      </c>
      <c r="N53" t="s">
        <v>831</v>
      </c>
    </row>
    <row r="54" spans="1:14">
      <c r="A54">
        <v>10300</v>
      </c>
      <c r="B54" t="s">
        <v>1278</v>
      </c>
      <c r="C54">
        <v>2</v>
      </c>
      <c r="D54" s="213">
        <v>35317</v>
      </c>
      <c r="E54" s="213">
        <v>35345</v>
      </c>
      <c r="F54" s="213">
        <v>35326</v>
      </c>
      <c r="G54">
        <v>2</v>
      </c>
      <c r="H54">
        <v>17.68</v>
      </c>
      <c r="I54" t="s">
        <v>1279</v>
      </c>
      <c r="J54" t="s">
        <v>1280</v>
      </c>
      <c r="K54" t="s">
        <v>1281</v>
      </c>
      <c r="M54">
        <v>24100</v>
      </c>
      <c r="N54" t="s">
        <v>827</v>
      </c>
    </row>
    <row r="55" spans="1:14">
      <c r="A55">
        <v>10301</v>
      </c>
      <c r="B55" t="s">
        <v>1336</v>
      </c>
      <c r="C55">
        <v>8</v>
      </c>
      <c r="D55" s="213">
        <v>35317</v>
      </c>
      <c r="E55" s="213">
        <v>35345</v>
      </c>
      <c r="F55" s="213">
        <v>35325</v>
      </c>
      <c r="G55">
        <v>2</v>
      </c>
      <c r="H55">
        <v>45.08</v>
      </c>
      <c r="I55" t="s">
        <v>1337</v>
      </c>
      <c r="J55" t="s">
        <v>1338</v>
      </c>
      <c r="K55" t="s">
        <v>1339</v>
      </c>
      <c r="M55">
        <v>70563</v>
      </c>
      <c r="N55" t="s">
        <v>1184</v>
      </c>
    </row>
    <row r="56" spans="1:14">
      <c r="A56">
        <v>10302</v>
      </c>
      <c r="B56" t="s">
        <v>1193</v>
      </c>
      <c r="C56">
        <v>4</v>
      </c>
      <c r="D56" s="213">
        <v>35318</v>
      </c>
      <c r="E56" s="213">
        <v>35346</v>
      </c>
      <c r="F56" s="213">
        <v>35347</v>
      </c>
      <c r="G56">
        <v>2</v>
      </c>
      <c r="H56">
        <v>6.27</v>
      </c>
      <c r="I56" t="s">
        <v>1194</v>
      </c>
      <c r="J56" t="s">
        <v>1195</v>
      </c>
      <c r="K56" t="s">
        <v>1196</v>
      </c>
      <c r="M56" t="s">
        <v>1197</v>
      </c>
      <c r="N56" t="s">
        <v>833</v>
      </c>
    </row>
    <row r="57" spans="1:14">
      <c r="A57">
        <v>10303</v>
      </c>
      <c r="B57" t="s">
        <v>1340</v>
      </c>
      <c r="C57">
        <v>7</v>
      </c>
      <c r="D57" s="213">
        <v>35319</v>
      </c>
      <c r="E57" s="213">
        <v>35347</v>
      </c>
      <c r="F57" s="213">
        <v>35326</v>
      </c>
      <c r="G57">
        <v>2</v>
      </c>
      <c r="H57">
        <v>107.83</v>
      </c>
      <c r="I57" t="s">
        <v>1341</v>
      </c>
      <c r="J57" t="s">
        <v>1342</v>
      </c>
      <c r="K57" t="s">
        <v>1343</v>
      </c>
      <c r="M57">
        <v>41101</v>
      </c>
      <c r="N57" t="s">
        <v>1302</v>
      </c>
    </row>
    <row r="58" spans="1:14">
      <c r="A58">
        <v>10304</v>
      </c>
      <c r="B58" t="s">
        <v>1282</v>
      </c>
      <c r="C58">
        <v>1</v>
      </c>
      <c r="D58" s="213">
        <v>35320</v>
      </c>
      <c r="E58" s="213">
        <v>35348</v>
      </c>
      <c r="F58" s="213">
        <v>35325</v>
      </c>
      <c r="G58">
        <v>2</v>
      </c>
      <c r="H58">
        <v>63.79</v>
      </c>
      <c r="I58" t="s">
        <v>1283</v>
      </c>
      <c r="J58" t="s">
        <v>1284</v>
      </c>
      <c r="K58" t="s">
        <v>1226</v>
      </c>
      <c r="M58">
        <v>5033</v>
      </c>
      <c r="N58" t="s">
        <v>1227</v>
      </c>
    </row>
    <row r="59" spans="1:14">
      <c r="A59">
        <v>10305</v>
      </c>
      <c r="B59" t="s">
        <v>1344</v>
      </c>
      <c r="C59">
        <v>8</v>
      </c>
      <c r="D59" s="213">
        <v>35321</v>
      </c>
      <c r="E59" s="213">
        <v>35349</v>
      </c>
      <c r="F59" s="213">
        <v>35347</v>
      </c>
      <c r="G59">
        <v>3</v>
      </c>
      <c r="H59">
        <v>257.62</v>
      </c>
      <c r="I59" t="s">
        <v>1345</v>
      </c>
      <c r="J59" t="s">
        <v>1346</v>
      </c>
      <c r="K59" t="s">
        <v>1347</v>
      </c>
      <c r="L59" t="s">
        <v>1348</v>
      </c>
      <c r="M59">
        <v>99508</v>
      </c>
      <c r="N59" t="s">
        <v>1241</v>
      </c>
    </row>
    <row r="60" spans="1:14">
      <c r="A60">
        <v>10306</v>
      </c>
      <c r="B60" t="s">
        <v>1298</v>
      </c>
      <c r="C60">
        <v>1</v>
      </c>
      <c r="D60" s="213">
        <v>35324</v>
      </c>
      <c r="E60" s="213">
        <v>35352</v>
      </c>
      <c r="F60" s="213">
        <v>35331</v>
      </c>
      <c r="G60">
        <v>3</v>
      </c>
      <c r="H60">
        <v>7.56</v>
      </c>
      <c r="I60" t="s">
        <v>1299</v>
      </c>
      <c r="J60" t="s">
        <v>1300</v>
      </c>
      <c r="K60" t="s">
        <v>1301</v>
      </c>
      <c r="M60">
        <v>28001</v>
      </c>
      <c r="N60" t="s">
        <v>1302</v>
      </c>
    </row>
    <row r="61" spans="1:14">
      <c r="A61">
        <v>10307</v>
      </c>
      <c r="B61" t="s">
        <v>1349</v>
      </c>
      <c r="C61">
        <v>2</v>
      </c>
      <c r="D61" s="213">
        <v>35325</v>
      </c>
      <c r="E61" s="213">
        <v>35353</v>
      </c>
      <c r="F61" s="213">
        <v>35333</v>
      </c>
      <c r="G61">
        <v>2</v>
      </c>
      <c r="H61">
        <v>0.56000000000000005</v>
      </c>
      <c r="I61" t="s">
        <v>1350</v>
      </c>
      <c r="J61" t="s">
        <v>1351</v>
      </c>
      <c r="K61" t="s">
        <v>1352</v>
      </c>
      <c r="L61" t="s">
        <v>1353</v>
      </c>
      <c r="M61">
        <v>97219</v>
      </c>
      <c r="N61" t="s">
        <v>1241</v>
      </c>
    </row>
    <row r="62" spans="1:14">
      <c r="A62">
        <v>10308</v>
      </c>
      <c r="B62" t="s">
        <v>1354</v>
      </c>
      <c r="C62">
        <v>7</v>
      </c>
      <c r="D62" s="213">
        <v>35326</v>
      </c>
      <c r="E62" s="213">
        <v>35354</v>
      </c>
      <c r="F62" s="213">
        <v>35332</v>
      </c>
      <c r="G62">
        <v>3</v>
      </c>
      <c r="H62">
        <v>1.61</v>
      </c>
      <c r="I62" t="s">
        <v>1355</v>
      </c>
      <c r="J62" t="s">
        <v>1356</v>
      </c>
      <c r="K62" t="s">
        <v>1226</v>
      </c>
      <c r="M62">
        <v>5021</v>
      </c>
      <c r="N62" t="s">
        <v>1227</v>
      </c>
    </row>
    <row r="63" spans="1:14">
      <c r="A63">
        <v>10309</v>
      </c>
      <c r="B63" t="s">
        <v>1330</v>
      </c>
      <c r="C63">
        <v>3</v>
      </c>
      <c r="D63" s="213">
        <v>35327</v>
      </c>
      <c r="E63" s="213">
        <v>35355</v>
      </c>
      <c r="F63" s="213">
        <v>35361</v>
      </c>
      <c r="G63">
        <v>1</v>
      </c>
      <c r="H63">
        <v>47.3</v>
      </c>
      <c r="I63" t="s">
        <v>1331</v>
      </c>
      <c r="J63" t="s">
        <v>1332</v>
      </c>
      <c r="K63" t="s">
        <v>1333</v>
      </c>
      <c r="L63" t="s">
        <v>1334</v>
      </c>
      <c r="N63" t="s">
        <v>1335</v>
      </c>
    </row>
    <row r="64" spans="1:14">
      <c r="A64">
        <v>10310</v>
      </c>
      <c r="B64" t="s">
        <v>1357</v>
      </c>
      <c r="C64">
        <v>8</v>
      </c>
      <c r="D64" s="213">
        <v>35328</v>
      </c>
      <c r="E64" s="213">
        <v>35356</v>
      </c>
      <c r="F64" s="213">
        <v>35335</v>
      </c>
      <c r="G64">
        <v>2</v>
      </c>
      <c r="H64">
        <v>17.52</v>
      </c>
      <c r="I64" t="s">
        <v>1358</v>
      </c>
      <c r="J64" t="s">
        <v>1359</v>
      </c>
    </row>
    <row r="65" spans="1:14">
      <c r="A65" t="s">
        <v>1360</v>
      </c>
      <c r="B65" t="s">
        <v>1352</v>
      </c>
      <c r="C65" t="s">
        <v>1353</v>
      </c>
      <c r="D65">
        <v>97201</v>
      </c>
      <c r="E65" t="s">
        <v>1241</v>
      </c>
    </row>
    <row r="66" spans="1:14">
      <c r="A66">
        <v>10311</v>
      </c>
      <c r="B66" t="s">
        <v>1361</v>
      </c>
      <c r="C66">
        <v>1</v>
      </c>
      <c r="D66" s="213">
        <v>35328</v>
      </c>
      <c r="E66" s="213">
        <v>35342</v>
      </c>
      <c r="F66" s="213">
        <v>35334</v>
      </c>
      <c r="G66">
        <v>3</v>
      </c>
      <c r="H66">
        <v>24.69</v>
      </c>
      <c r="I66" t="s">
        <v>1362</v>
      </c>
      <c r="J66" t="s">
        <v>1363</v>
      </c>
      <c r="K66" t="s">
        <v>1364</v>
      </c>
      <c r="M66">
        <v>44000</v>
      </c>
      <c r="N66" t="s">
        <v>824</v>
      </c>
    </row>
    <row r="67" spans="1:14">
      <c r="A67">
        <v>10312</v>
      </c>
      <c r="B67" t="s">
        <v>1336</v>
      </c>
      <c r="C67">
        <v>2</v>
      </c>
      <c r="D67" s="213">
        <v>35331</v>
      </c>
      <c r="E67" s="213">
        <v>35359</v>
      </c>
      <c r="F67" s="213">
        <v>35341</v>
      </c>
      <c r="G67">
        <v>2</v>
      </c>
      <c r="H67">
        <v>40.26</v>
      </c>
      <c r="I67" t="s">
        <v>1337</v>
      </c>
      <c r="J67" t="s">
        <v>1338</v>
      </c>
      <c r="K67" t="s">
        <v>1339</v>
      </c>
      <c r="M67">
        <v>70563</v>
      </c>
      <c r="N67" t="s">
        <v>1184</v>
      </c>
    </row>
    <row r="68" spans="1:14">
      <c r="A68">
        <v>10313</v>
      </c>
      <c r="B68" t="s">
        <v>1274</v>
      </c>
      <c r="C68">
        <v>2</v>
      </c>
      <c r="D68" s="213">
        <v>35332</v>
      </c>
      <c r="E68" s="213">
        <v>35360</v>
      </c>
      <c r="F68" s="213">
        <v>35342</v>
      </c>
      <c r="G68">
        <v>2</v>
      </c>
      <c r="H68">
        <v>1.96</v>
      </c>
      <c r="I68" t="s">
        <v>1275</v>
      </c>
      <c r="J68" t="s">
        <v>1276</v>
      </c>
      <c r="K68" t="s">
        <v>1277</v>
      </c>
      <c r="M68">
        <v>1307</v>
      </c>
      <c r="N68" t="s">
        <v>1184</v>
      </c>
    </row>
    <row r="69" spans="1:14">
      <c r="A69">
        <v>10314</v>
      </c>
      <c r="B69" t="s">
        <v>1236</v>
      </c>
      <c r="C69">
        <v>1</v>
      </c>
      <c r="D69" s="213">
        <v>35333</v>
      </c>
      <c r="E69" s="213">
        <v>35361</v>
      </c>
      <c r="F69" s="213">
        <v>35342</v>
      </c>
      <c r="G69">
        <v>2</v>
      </c>
      <c r="H69">
        <v>74.16</v>
      </c>
      <c r="I69" t="s">
        <v>1237</v>
      </c>
      <c r="J69" t="s">
        <v>1238</v>
      </c>
      <c r="K69" t="s">
        <v>1239</v>
      </c>
      <c r="L69" t="s">
        <v>1240</v>
      </c>
      <c r="M69">
        <v>87110</v>
      </c>
      <c r="N69" t="s">
        <v>1241</v>
      </c>
    </row>
    <row r="70" spans="1:14">
      <c r="A70">
        <v>10315</v>
      </c>
      <c r="B70" t="s">
        <v>1365</v>
      </c>
      <c r="C70">
        <v>4</v>
      </c>
      <c r="D70" s="213">
        <v>35334</v>
      </c>
      <c r="E70" s="213">
        <v>35362</v>
      </c>
      <c r="F70" s="213">
        <v>35341</v>
      </c>
      <c r="G70">
        <v>2</v>
      </c>
      <c r="H70">
        <v>41.76</v>
      </c>
      <c r="I70" t="s">
        <v>1366</v>
      </c>
      <c r="J70" t="s">
        <v>1367</v>
      </c>
    </row>
    <row r="71" spans="1:14">
      <c r="A71" t="s">
        <v>1368</v>
      </c>
      <c r="B71" t="s">
        <v>1369</v>
      </c>
      <c r="C71" t="s">
        <v>1370</v>
      </c>
      <c r="D71" t="s">
        <v>1371</v>
      </c>
      <c r="E71" t="s">
        <v>1321</v>
      </c>
    </row>
    <row r="72" spans="1:14">
      <c r="A72">
        <v>10316</v>
      </c>
      <c r="B72" t="s">
        <v>1236</v>
      </c>
      <c r="C72">
        <v>1</v>
      </c>
      <c r="D72" s="213">
        <v>35335</v>
      </c>
      <c r="E72" s="213">
        <v>35363</v>
      </c>
      <c r="F72" s="213">
        <v>35346</v>
      </c>
      <c r="G72">
        <v>3</v>
      </c>
      <c r="H72">
        <v>150.15</v>
      </c>
      <c r="I72" t="s">
        <v>1237</v>
      </c>
      <c r="J72" t="s">
        <v>1238</v>
      </c>
      <c r="K72" t="s">
        <v>1239</v>
      </c>
      <c r="L72" t="s">
        <v>1240</v>
      </c>
      <c r="M72">
        <v>87110</v>
      </c>
      <c r="N72" t="s">
        <v>1241</v>
      </c>
    </row>
    <row r="73" spans="1:14">
      <c r="A73">
        <v>10317</v>
      </c>
      <c r="B73" t="s">
        <v>1349</v>
      </c>
      <c r="C73">
        <v>6</v>
      </c>
      <c r="D73" s="213">
        <v>35338</v>
      </c>
      <c r="E73" s="213">
        <v>35366</v>
      </c>
      <c r="F73" s="213">
        <v>35348</v>
      </c>
      <c r="G73">
        <v>1</v>
      </c>
      <c r="H73">
        <v>12.69</v>
      </c>
      <c r="I73" t="s">
        <v>1350</v>
      </c>
      <c r="J73" t="s">
        <v>1351</v>
      </c>
      <c r="K73" t="s">
        <v>1352</v>
      </c>
      <c r="L73" t="s">
        <v>1353</v>
      </c>
      <c r="M73">
        <v>97219</v>
      </c>
      <c r="N73" t="s">
        <v>1241</v>
      </c>
    </row>
    <row r="74" spans="1:14">
      <c r="A74">
        <v>10318</v>
      </c>
      <c r="B74" t="s">
        <v>1365</v>
      </c>
      <c r="C74">
        <v>8</v>
      </c>
      <c r="D74" s="213">
        <v>35339</v>
      </c>
      <c r="E74" s="213">
        <v>35367</v>
      </c>
      <c r="F74" s="213">
        <v>35342</v>
      </c>
      <c r="G74">
        <v>2</v>
      </c>
      <c r="H74">
        <v>4.7300000000000004</v>
      </c>
      <c r="I74" t="s">
        <v>1366</v>
      </c>
      <c r="J74" t="s">
        <v>1367</v>
      </c>
    </row>
    <row r="75" spans="1:14">
      <c r="A75" t="s">
        <v>1368</v>
      </c>
      <c r="B75" t="s">
        <v>1369</v>
      </c>
      <c r="C75" t="s">
        <v>1370</v>
      </c>
      <c r="D75" t="s">
        <v>1371</v>
      </c>
      <c r="E75" t="s">
        <v>1321</v>
      </c>
    </row>
    <row r="76" spans="1:14">
      <c r="A76">
        <v>10319</v>
      </c>
      <c r="B76" t="s">
        <v>1282</v>
      </c>
      <c r="C76">
        <v>7</v>
      </c>
      <c r="D76" s="213">
        <v>35340</v>
      </c>
      <c r="E76" s="213">
        <v>35368</v>
      </c>
      <c r="F76" s="213">
        <v>35349</v>
      </c>
      <c r="G76">
        <v>3</v>
      </c>
      <c r="H76">
        <v>64.5</v>
      </c>
      <c r="I76" t="s">
        <v>1283</v>
      </c>
      <c r="J76" t="s">
        <v>1284</v>
      </c>
      <c r="K76" t="s">
        <v>1226</v>
      </c>
      <c r="M76">
        <v>5033</v>
      </c>
      <c r="N76" t="s">
        <v>1227</v>
      </c>
    </row>
    <row r="77" spans="1:14">
      <c r="A77">
        <v>10320</v>
      </c>
      <c r="B77" t="s">
        <v>1251</v>
      </c>
      <c r="C77">
        <v>5</v>
      </c>
      <c r="D77" s="213">
        <v>35341</v>
      </c>
      <c r="E77" s="213">
        <v>35355</v>
      </c>
      <c r="F77" s="213">
        <v>35356</v>
      </c>
      <c r="G77">
        <v>3</v>
      </c>
      <c r="H77">
        <v>34.57</v>
      </c>
      <c r="I77" t="s">
        <v>1252</v>
      </c>
      <c r="J77" t="s">
        <v>1253</v>
      </c>
      <c r="K77" t="s">
        <v>1254</v>
      </c>
      <c r="M77">
        <v>90110</v>
      </c>
      <c r="N77" t="s">
        <v>1255</v>
      </c>
    </row>
    <row r="78" spans="1:14">
      <c r="A78">
        <v>10321</v>
      </c>
      <c r="B78" t="s">
        <v>1365</v>
      </c>
      <c r="C78">
        <v>3</v>
      </c>
      <c r="D78" s="213">
        <v>35341</v>
      </c>
      <c r="E78" s="213">
        <v>35369</v>
      </c>
      <c r="F78" s="213">
        <v>35349</v>
      </c>
      <c r="G78">
        <v>2</v>
      </c>
      <c r="H78">
        <v>3.43</v>
      </c>
      <c r="I78" t="s">
        <v>1366</v>
      </c>
      <c r="J78" t="s">
        <v>1367</v>
      </c>
    </row>
    <row r="79" spans="1:14">
      <c r="A79" t="s">
        <v>1368</v>
      </c>
      <c r="B79" t="s">
        <v>1369</v>
      </c>
      <c r="C79" t="s">
        <v>1370</v>
      </c>
      <c r="D79" t="s">
        <v>1371</v>
      </c>
      <c r="E79" t="s">
        <v>1321</v>
      </c>
    </row>
    <row r="80" spans="1:14">
      <c r="A80">
        <v>10322</v>
      </c>
      <c r="B80" t="s">
        <v>1372</v>
      </c>
      <c r="C80">
        <v>7</v>
      </c>
      <c r="D80" s="213">
        <v>35342</v>
      </c>
      <c r="E80" s="213">
        <v>35370</v>
      </c>
      <c r="F80" s="213">
        <v>35361</v>
      </c>
      <c r="G80">
        <v>3</v>
      </c>
      <c r="H80">
        <v>0.4</v>
      </c>
      <c r="I80" t="s">
        <v>1373</v>
      </c>
      <c r="J80" t="s">
        <v>1374</v>
      </c>
      <c r="K80" t="s">
        <v>1226</v>
      </c>
      <c r="M80">
        <v>5033</v>
      </c>
      <c r="N80" t="s">
        <v>1227</v>
      </c>
    </row>
    <row r="81" spans="1:14">
      <c r="A81">
        <v>10323</v>
      </c>
      <c r="B81" t="s">
        <v>1375</v>
      </c>
      <c r="C81">
        <v>4</v>
      </c>
      <c r="D81" s="213">
        <v>35345</v>
      </c>
      <c r="E81" s="213">
        <v>35373</v>
      </c>
      <c r="F81" s="213">
        <v>35352</v>
      </c>
      <c r="G81">
        <v>1</v>
      </c>
      <c r="H81">
        <v>4.88</v>
      </c>
      <c r="I81" t="s">
        <v>1376</v>
      </c>
      <c r="J81" t="s">
        <v>1377</v>
      </c>
      <c r="K81" t="s">
        <v>1378</v>
      </c>
      <c r="M81">
        <v>14776</v>
      </c>
      <c r="N81" t="s">
        <v>1184</v>
      </c>
    </row>
    <row r="82" spans="1:14">
      <c r="A82">
        <v>10324</v>
      </c>
      <c r="B82" t="s">
        <v>1379</v>
      </c>
      <c r="C82">
        <v>9</v>
      </c>
      <c r="D82" s="213">
        <v>35346</v>
      </c>
      <c r="E82" s="213">
        <v>35374</v>
      </c>
      <c r="F82" s="213">
        <v>35348</v>
      </c>
      <c r="G82">
        <v>1</v>
      </c>
      <c r="H82">
        <v>214.27</v>
      </c>
      <c r="I82" t="s">
        <v>1380</v>
      </c>
      <c r="J82" t="s">
        <v>1381</v>
      </c>
      <c r="K82" t="s">
        <v>1382</v>
      </c>
      <c r="L82" t="s">
        <v>1383</v>
      </c>
      <c r="M82">
        <v>83720</v>
      </c>
      <c r="N82" t="s">
        <v>1241</v>
      </c>
    </row>
    <row r="83" spans="1:14">
      <c r="A83">
        <v>10325</v>
      </c>
      <c r="B83" t="s">
        <v>1375</v>
      </c>
      <c r="C83">
        <v>1</v>
      </c>
      <c r="D83" s="213">
        <v>35347</v>
      </c>
      <c r="E83" s="213">
        <v>35361</v>
      </c>
      <c r="F83" s="213">
        <v>35352</v>
      </c>
      <c r="G83">
        <v>3</v>
      </c>
      <c r="H83">
        <v>64.86</v>
      </c>
      <c r="I83" t="s">
        <v>1376</v>
      </c>
      <c r="J83" t="s">
        <v>1377</v>
      </c>
      <c r="K83" t="s">
        <v>1378</v>
      </c>
      <c r="M83">
        <v>14776</v>
      </c>
      <c r="N83" t="s">
        <v>1184</v>
      </c>
    </row>
    <row r="84" spans="1:14">
      <c r="A84">
        <v>10326</v>
      </c>
      <c r="B84" t="s">
        <v>1384</v>
      </c>
      <c r="C84">
        <v>4</v>
      </c>
      <c r="D84" s="213">
        <v>35348</v>
      </c>
      <c r="E84" s="213">
        <v>35376</v>
      </c>
      <c r="F84" s="213">
        <v>35352</v>
      </c>
      <c r="G84">
        <v>2</v>
      </c>
      <c r="H84">
        <v>77.92</v>
      </c>
      <c r="I84" t="s">
        <v>1385</v>
      </c>
      <c r="J84" t="s">
        <v>1386</v>
      </c>
      <c r="K84" t="s">
        <v>1301</v>
      </c>
      <c r="M84">
        <v>28023</v>
      </c>
      <c r="N84" t="s">
        <v>1302</v>
      </c>
    </row>
    <row r="85" spans="1:14">
      <c r="A85">
        <v>10327</v>
      </c>
      <c r="B85" t="s">
        <v>1242</v>
      </c>
      <c r="C85">
        <v>2</v>
      </c>
      <c r="D85" s="213">
        <v>35349</v>
      </c>
      <c r="E85" s="213">
        <v>35377</v>
      </c>
      <c r="F85" s="213">
        <v>35352</v>
      </c>
      <c r="G85">
        <v>1</v>
      </c>
      <c r="H85">
        <v>63.36</v>
      </c>
      <c r="I85" t="s">
        <v>1243</v>
      </c>
      <c r="J85" t="s">
        <v>1244</v>
      </c>
      <c r="K85" t="s">
        <v>1245</v>
      </c>
      <c r="M85" t="s">
        <v>1246</v>
      </c>
      <c r="N85" t="s">
        <v>829</v>
      </c>
    </row>
    <row r="86" spans="1:14">
      <c r="A86">
        <v>10328</v>
      </c>
      <c r="B86" t="s">
        <v>1387</v>
      </c>
      <c r="C86">
        <v>4</v>
      </c>
      <c r="D86" s="213">
        <v>35352</v>
      </c>
      <c r="E86" s="213">
        <v>35380</v>
      </c>
      <c r="F86" s="213">
        <v>35355</v>
      </c>
      <c r="G86">
        <v>3</v>
      </c>
      <c r="H86">
        <v>87.03</v>
      </c>
      <c r="I86" t="s">
        <v>1388</v>
      </c>
      <c r="J86" t="s">
        <v>1389</v>
      </c>
      <c r="K86" t="s">
        <v>1390</v>
      </c>
      <c r="M86">
        <v>1675</v>
      </c>
      <c r="N86" t="s">
        <v>1391</v>
      </c>
    </row>
    <row r="87" spans="1:14">
      <c r="A87">
        <v>10329</v>
      </c>
      <c r="B87" t="s">
        <v>1269</v>
      </c>
      <c r="C87">
        <v>4</v>
      </c>
      <c r="D87" s="213">
        <v>35353</v>
      </c>
      <c r="E87" s="213">
        <v>35395</v>
      </c>
      <c r="F87" s="213">
        <v>35361</v>
      </c>
      <c r="G87">
        <v>2</v>
      </c>
      <c r="H87">
        <v>191.67</v>
      </c>
      <c r="I87" t="s">
        <v>1270</v>
      </c>
      <c r="J87" t="s">
        <v>1271</v>
      </c>
      <c r="K87" t="s">
        <v>1272</v>
      </c>
      <c r="L87" t="s">
        <v>1273</v>
      </c>
      <c r="M87">
        <v>82520</v>
      </c>
      <c r="N87" t="s">
        <v>1241</v>
      </c>
    </row>
    <row r="88" spans="1:14">
      <c r="A88">
        <v>10330</v>
      </c>
      <c r="B88" t="s">
        <v>1303</v>
      </c>
      <c r="C88">
        <v>3</v>
      </c>
      <c r="D88" s="213">
        <v>35354</v>
      </c>
      <c r="E88" s="213">
        <v>35382</v>
      </c>
      <c r="F88" s="213">
        <v>35366</v>
      </c>
      <c r="G88">
        <v>1</v>
      </c>
      <c r="H88">
        <v>12.75</v>
      </c>
      <c r="I88" t="s">
        <v>1304</v>
      </c>
      <c r="J88" t="s">
        <v>1305</v>
      </c>
      <c r="K88" t="s">
        <v>1306</v>
      </c>
      <c r="L88" t="s">
        <v>1307</v>
      </c>
      <c r="M88">
        <v>3508</v>
      </c>
      <c r="N88" t="s">
        <v>1217</v>
      </c>
    </row>
    <row r="89" spans="1:14">
      <c r="A89">
        <v>10331</v>
      </c>
      <c r="B89" t="s">
        <v>1392</v>
      </c>
      <c r="C89">
        <v>9</v>
      </c>
      <c r="D89" s="213">
        <v>35354</v>
      </c>
      <c r="E89" s="213">
        <v>35396</v>
      </c>
      <c r="F89" s="213">
        <v>35359</v>
      </c>
      <c r="G89">
        <v>1</v>
      </c>
      <c r="H89">
        <v>10.19</v>
      </c>
      <c r="I89" t="s">
        <v>1393</v>
      </c>
      <c r="J89" t="s">
        <v>1394</v>
      </c>
      <c r="K89" t="s">
        <v>1395</v>
      </c>
      <c r="M89">
        <v>13008</v>
      </c>
      <c r="N89" t="s">
        <v>824</v>
      </c>
    </row>
    <row r="90" spans="1:14">
      <c r="A90">
        <v>10332</v>
      </c>
      <c r="B90" t="s">
        <v>1396</v>
      </c>
      <c r="C90">
        <v>3</v>
      </c>
      <c r="D90" s="213">
        <v>35355</v>
      </c>
      <c r="E90" s="213">
        <v>35397</v>
      </c>
      <c r="F90" s="213">
        <v>35359</v>
      </c>
      <c r="G90">
        <v>2</v>
      </c>
      <c r="H90">
        <v>52.84</v>
      </c>
      <c r="I90" t="s">
        <v>1397</v>
      </c>
      <c r="J90" t="s">
        <v>1398</v>
      </c>
      <c r="K90" t="s">
        <v>1399</v>
      </c>
      <c r="L90" t="s">
        <v>1400</v>
      </c>
      <c r="M90" t="s">
        <v>1401</v>
      </c>
      <c r="N90" t="s">
        <v>1402</v>
      </c>
    </row>
    <row r="91" spans="1:14">
      <c r="A91">
        <v>10333</v>
      </c>
      <c r="B91" t="s">
        <v>1251</v>
      </c>
      <c r="C91">
        <v>5</v>
      </c>
      <c r="D91" s="213">
        <v>35356</v>
      </c>
      <c r="E91" s="213">
        <v>35384</v>
      </c>
      <c r="F91" s="213">
        <v>35363</v>
      </c>
      <c r="G91">
        <v>3</v>
      </c>
      <c r="H91">
        <v>0.59</v>
      </c>
      <c r="I91" t="s">
        <v>1252</v>
      </c>
      <c r="J91" t="s">
        <v>1253</v>
      </c>
      <c r="K91" t="s">
        <v>1254</v>
      </c>
      <c r="M91">
        <v>90110</v>
      </c>
      <c r="N91" t="s">
        <v>1255</v>
      </c>
    </row>
    <row r="92" spans="1:14">
      <c r="A92">
        <v>10334</v>
      </c>
      <c r="B92" t="s">
        <v>1189</v>
      </c>
      <c r="C92">
        <v>8</v>
      </c>
      <c r="D92" s="213">
        <v>35359</v>
      </c>
      <c r="E92" s="213">
        <v>35387</v>
      </c>
      <c r="F92" s="213">
        <v>35366</v>
      </c>
      <c r="G92">
        <v>2</v>
      </c>
      <c r="H92">
        <v>8.56</v>
      </c>
      <c r="I92" t="s">
        <v>1190</v>
      </c>
      <c r="J92" t="s">
        <v>1191</v>
      </c>
      <c r="K92" t="s">
        <v>1192</v>
      </c>
      <c r="M92">
        <v>69004</v>
      </c>
      <c r="N92" t="s">
        <v>824</v>
      </c>
    </row>
    <row r="93" spans="1:14">
      <c r="A93">
        <v>10335</v>
      </c>
      <c r="B93" t="s">
        <v>1330</v>
      </c>
      <c r="C93">
        <v>7</v>
      </c>
      <c r="D93" s="213">
        <v>35360</v>
      </c>
      <c r="E93" s="213">
        <v>35388</v>
      </c>
      <c r="F93" s="213">
        <v>35362</v>
      </c>
      <c r="G93">
        <v>2</v>
      </c>
      <c r="H93">
        <v>42.11</v>
      </c>
      <c r="I93" t="s">
        <v>1331</v>
      </c>
      <c r="J93" t="s">
        <v>1332</v>
      </c>
      <c r="K93" t="s">
        <v>1333</v>
      </c>
      <c r="L93" t="s">
        <v>1334</v>
      </c>
      <c r="N93" t="s">
        <v>1335</v>
      </c>
    </row>
    <row r="94" spans="1:14">
      <c r="A94">
        <v>10336</v>
      </c>
      <c r="B94" t="s">
        <v>1403</v>
      </c>
      <c r="C94">
        <v>7</v>
      </c>
      <c r="D94" s="213">
        <v>35361</v>
      </c>
      <c r="E94" s="213">
        <v>35389</v>
      </c>
      <c r="F94" s="213">
        <v>35363</v>
      </c>
      <c r="G94">
        <v>2</v>
      </c>
      <c r="H94">
        <v>15.51</v>
      </c>
      <c r="I94" t="s">
        <v>1404</v>
      </c>
      <c r="J94" t="s">
        <v>1405</v>
      </c>
      <c r="K94" t="s">
        <v>1390</v>
      </c>
      <c r="M94">
        <v>1756</v>
      </c>
      <c r="N94" t="s">
        <v>1391</v>
      </c>
    </row>
    <row r="95" spans="1:14">
      <c r="A95">
        <v>10337</v>
      </c>
      <c r="B95" t="s">
        <v>1256</v>
      </c>
      <c r="C95">
        <v>4</v>
      </c>
      <c r="D95" s="213">
        <v>35362</v>
      </c>
      <c r="E95" s="213">
        <v>35390</v>
      </c>
      <c r="F95" s="213">
        <v>35367</v>
      </c>
      <c r="G95">
        <v>3</v>
      </c>
      <c r="H95">
        <v>108.26</v>
      </c>
      <c r="I95" t="s">
        <v>1257</v>
      </c>
      <c r="J95" t="s">
        <v>1258</v>
      </c>
      <c r="K95" t="s">
        <v>1259</v>
      </c>
      <c r="M95">
        <v>80805</v>
      </c>
      <c r="N95" t="s">
        <v>1184</v>
      </c>
    </row>
    <row r="96" spans="1:14">
      <c r="A96">
        <v>10338</v>
      </c>
      <c r="B96" t="s">
        <v>1344</v>
      </c>
      <c r="C96">
        <v>4</v>
      </c>
      <c r="D96" s="213">
        <v>35363</v>
      </c>
      <c r="E96" s="213">
        <v>35391</v>
      </c>
      <c r="F96" s="213">
        <v>35367</v>
      </c>
      <c r="G96">
        <v>3</v>
      </c>
      <c r="H96">
        <v>84.21</v>
      </c>
      <c r="I96" t="s">
        <v>1345</v>
      </c>
      <c r="J96" t="s">
        <v>1346</v>
      </c>
      <c r="K96" t="s">
        <v>1347</v>
      </c>
      <c r="L96" t="s">
        <v>1348</v>
      </c>
      <c r="M96">
        <v>99508</v>
      </c>
      <c r="N96" t="s">
        <v>1241</v>
      </c>
    </row>
    <row r="97" spans="1:14">
      <c r="A97">
        <v>10339</v>
      </c>
      <c r="B97" t="s">
        <v>1396</v>
      </c>
      <c r="C97">
        <v>2</v>
      </c>
      <c r="D97" s="213">
        <v>35366</v>
      </c>
      <c r="E97" s="213">
        <v>35394</v>
      </c>
      <c r="F97" s="213">
        <v>35373</v>
      </c>
      <c r="G97">
        <v>2</v>
      </c>
      <c r="H97">
        <v>15.66</v>
      </c>
      <c r="I97" t="s">
        <v>1397</v>
      </c>
      <c r="J97" t="s">
        <v>1398</v>
      </c>
      <c r="K97" t="s">
        <v>1399</v>
      </c>
      <c r="L97" t="s">
        <v>1400</v>
      </c>
      <c r="M97" t="s">
        <v>1401</v>
      </c>
      <c r="N97" t="s">
        <v>1402</v>
      </c>
    </row>
    <row r="98" spans="1:14">
      <c r="A98">
        <v>10340</v>
      </c>
      <c r="B98" t="s">
        <v>1392</v>
      </c>
      <c r="C98">
        <v>1</v>
      </c>
      <c r="D98" s="213">
        <v>35367</v>
      </c>
      <c r="E98" s="213">
        <v>35395</v>
      </c>
      <c r="F98" s="213">
        <v>35377</v>
      </c>
      <c r="G98">
        <v>3</v>
      </c>
      <c r="H98">
        <v>166.31</v>
      </c>
      <c r="I98" t="s">
        <v>1393</v>
      </c>
      <c r="J98" t="s">
        <v>1394</v>
      </c>
      <c r="K98" t="s">
        <v>1395</v>
      </c>
      <c r="M98">
        <v>13008</v>
      </c>
      <c r="N98" t="s">
        <v>824</v>
      </c>
    </row>
    <row r="99" spans="1:14">
      <c r="A99">
        <v>10341</v>
      </c>
      <c r="B99" t="s">
        <v>1406</v>
      </c>
      <c r="C99">
        <v>7</v>
      </c>
      <c r="D99" s="213">
        <v>35367</v>
      </c>
      <c r="E99" s="213">
        <v>35395</v>
      </c>
      <c r="F99" s="213">
        <v>35374</v>
      </c>
      <c r="G99">
        <v>3</v>
      </c>
      <c r="H99">
        <v>26.78</v>
      </c>
      <c r="I99" t="s">
        <v>1407</v>
      </c>
      <c r="J99" t="s">
        <v>1408</v>
      </c>
      <c r="K99" t="s">
        <v>1409</v>
      </c>
      <c r="M99">
        <v>1734</v>
      </c>
      <c r="N99" t="s">
        <v>1410</v>
      </c>
    </row>
    <row r="100" spans="1:14">
      <c r="A100">
        <v>10342</v>
      </c>
      <c r="B100" t="s">
        <v>1256</v>
      </c>
      <c r="C100">
        <v>4</v>
      </c>
      <c r="D100" s="213">
        <v>35368</v>
      </c>
      <c r="E100" s="213">
        <v>35382</v>
      </c>
      <c r="F100" s="213">
        <v>35373</v>
      </c>
      <c r="G100">
        <v>2</v>
      </c>
      <c r="H100">
        <v>54.83</v>
      </c>
      <c r="I100" t="s">
        <v>1257</v>
      </c>
      <c r="J100" t="s">
        <v>1258</v>
      </c>
      <c r="K100" t="s">
        <v>1259</v>
      </c>
      <c r="M100">
        <v>80805</v>
      </c>
      <c r="N100" t="s">
        <v>1184</v>
      </c>
    </row>
    <row r="101" spans="1:14">
      <c r="A101">
        <v>10343</v>
      </c>
      <c r="B101" t="s">
        <v>1294</v>
      </c>
      <c r="C101">
        <v>4</v>
      </c>
      <c r="D101" s="213">
        <v>35369</v>
      </c>
      <c r="E101" s="213">
        <v>35397</v>
      </c>
      <c r="F101" s="213">
        <v>35375</v>
      </c>
      <c r="G101">
        <v>1</v>
      </c>
      <c r="H101">
        <v>110.37</v>
      </c>
      <c r="I101" t="s">
        <v>1295</v>
      </c>
      <c r="J101" t="s">
        <v>1296</v>
      </c>
      <c r="K101" t="s">
        <v>1297</v>
      </c>
      <c r="M101">
        <v>60528</v>
      </c>
      <c r="N101" t="s">
        <v>1184</v>
      </c>
    </row>
    <row r="102" spans="1:14">
      <c r="A102">
        <v>10344</v>
      </c>
      <c r="B102" t="s">
        <v>1264</v>
      </c>
      <c r="C102">
        <v>4</v>
      </c>
      <c r="D102" s="213">
        <v>35370</v>
      </c>
      <c r="E102" s="213">
        <v>35398</v>
      </c>
      <c r="F102" s="213">
        <v>35374</v>
      </c>
      <c r="G102">
        <v>2</v>
      </c>
      <c r="H102">
        <v>23.29</v>
      </c>
      <c r="I102" t="s">
        <v>1265</v>
      </c>
      <c r="J102" t="s">
        <v>1266</v>
      </c>
      <c r="K102" t="s">
        <v>1267</v>
      </c>
      <c r="L102" t="s">
        <v>1268</v>
      </c>
      <c r="M102">
        <v>98124</v>
      </c>
      <c r="N102" t="s">
        <v>1241</v>
      </c>
    </row>
    <row r="103" spans="1:14">
      <c r="A103">
        <v>10345</v>
      </c>
      <c r="B103" t="s">
        <v>1274</v>
      </c>
      <c r="C103">
        <v>2</v>
      </c>
      <c r="D103" s="213">
        <v>35373</v>
      </c>
      <c r="E103" s="213">
        <v>35401</v>
      </c>
      <c r="F103" s="213">
        <v>35380</v>
      </c>
      <c r="G103">
        <v>2</v>
      </c>
      <c r="H103">
        <v>249.06</v>
      </c>
      <c r="I103" t="s">
        <v>1275</v>
      </c>
      <c r="J103" t="s">
        <v>1276</v>
      </c>
      <c r="K103" t="s">
        <v>1277</v>
      </c>
      <c r="M103">
        <v>1307</v>
      </c>
      <c r="N103" t="s">
        <v>1184</v>
      </c>
    </row>
    <row r="104" spans="1:14">
      <c r="A104">
        <v>10346</v>
      </c>
      <c r="B104" t="s">
        <v>1236</v>
      </c>
      <c r="C104">
        <v>3</v>
      </c>
      <c r="D104" s="213">
        <v>35374</v>
      </c>
      <c r="E104" s="213">
        <v>35416</v>
      </c>
      <c r="F104" s="213">
        <v>35377</v>
      </c>
      <c r="G104">
        <v>3</v>
      </c>
      <c r="H104">
        <v>142.08000000000001</v>
      </c>
      <c r="I104" t="s">
        <v>1237</v>
      </c>
      <c r="J104" t="s">
        <v>1238</v>
      </c>
      <c r="K104" t="s">
        <v>1239</v>
      </c>
      <c r="L104" t="s">
        <v>1240</v>
      </c>
      <c r="M104">
        <v>87110</v>
      </c>
      <c r="N104" t="s">
        <v>1241</v>
      </c>
    </row>
    <row r="105" spans="1:14">
      <c r="A105">
        <v>10347</v>
      </c>
      <c r="B105" t="s">
        <v>1411</v>
      </c>
      <c r="C105">
        <v>4</v>
      </c>
      <c r="D105" s="213">
        <v>35375</v>
      </c>
      <c r="E105" s="213">
        <v>35403</v>
      </c>
      <c r="F105" s="213">
        <v>35377</v>
      </c>
      <c r="G105">
        <v>3</v>
      </c>
      <c r="H105">
        <v>3.1</v>
      </c>
      <c r="I105" t="s">
        <v>1412</v>
      </c>
      <c r="J105" t="s">
        <v>1413</v>
      </c>
      <c r="K105" t="s">
        <v>983</v>
      </c>
      <c r="L105" t="s">
        <v>38</v>
      </c>
      <c r="M105" t="s">
        <v>1414</v>
      </c>
      <c r="N105" t="s">
        <v>831</v>
      </c>
    </row>
    <row r="106" spans="1:14">
      <c r="A106">
        <v>10348</v>
      </c>
      <c r="B106" t="s">
        <v>1336</v>
      </c>
      <c r="C106">
        <v>4</v>
      </c>
      <c r="D106" s="213">
        <v>35376</v>
      </c>
      <c r="E106" s="213">
        <v>35404</v>
      </c>
      <c r="F106" s="213">
        <v>35384</v>
      </c>
      <c r="G106">
        <v>2</v>
      </c>
      <c r="H106">
        <v>0.78</v>
      </c>
      <c r="I106" t="s">
        <v>1337</v>
      </c>
      <c r="J106" t="s">
        <v>1338</v>
      </c>
      <c r="K106" t="s">
        <v>1339</v>
      </c>
      <c r="M106">
        <v>70563</v>
      </c>
      <c r="N106" t="s">
        <v>1184</v>
      </c>
    </row>
    <row r="107" spans="1:14">
      <c r="A107">
        <v>10349</v>
      </c>
      <c r="B107" t="s">
        <v>1269</v>
      </c>
      <c r="C107">
        <v>7</v>
      </c>
      <c r="D107" s="213">
        <v>35377</v>
      </c>
      <c r="E107" s="213">
        <v>35405</v>
      </c>
      <c r="F107" s="213">
        <v>35384</v>
      </c>
      <c r="G107">
        <v>1</v>
      </c>
      <c r="H107">
        <v>8.6300000000000008</v>
      </c>
      <c r="I107" t="s">
        <v>1270</v>
      </c>
      <c r="J107" t="s">
        <v>1271</v>
      </c>
      <c r="K107" t="s">
        <v>1272</v>
      </c>
      <c r="L107" t="s">
        <v>1273</v>
      </c>
      <c r="M107">
        <v>82520</v>
      </c>
      <c r="N107" t="s">
        <v>1241</v>
      </c>
    </row>
    <row r="108" spans="1:14">
      <c r="A108">
        <v>10350</v>
      </c>
      <c r="B108" t="s">
        <v>1415</v>
      </c>
      <c r="C108">
        <v>6</v>
      </c>
      <c r="D108" s="213">
        <v>35380</v>
      </c>
      <c r="E108" s="213">
        <v>35408</v>
      </c>
      <c r="F108" s="213">
        <v>35402</v>
      </c>
      <c r="G108">
        <v>2</v>
      </c>
      <c r="H108">
        <v>64.19</v>
      </c>
      <c r="I108" t="s">
        <v>1416</v>
      </c>
      <c r="J108" t="s">
        <v>1417</v>
      </c>
      <c r="K108" t="s">
        <v>1418</v>
      </c>
      <c r="M108">
        <v>31000</v>
      </c>
      <c r="N108" t="s">
        <v>824</v>
      </c>
    </row>
    <row r="109" spans="1:14">
      <c r="A109">
        <v>10351</v>
      </c>
      <c r="B109" t="s">
        <v>1218</v>
      </c>
      <c r="C109">
        <v>1</v>
      </c>
      <c r="D109" s="213">
        <v>35380</v>
      </c>
      <c r="E109" s="213">
        <v>35408</v>
      </c>
      <c r="F109" s="213">
        <v>35389</v>
      </c>
      <c r="G109">
        <v>1</v>
      </c>
      <c r="H109">
        <v>162.33000000000001</v>
      </c>
      <c r="I109" t="s">
        <v>1219</v>
      </c>
      <c r="J109" t="s">
        <v>1220</v>
      </c>
      <c r="K109" t="s">
        <v>1221</v>
      </c>
      <c r="M109">
        <v>8010</v>
      </c>
      <c r="N109" t="s">
        <v>1222</v>
      </c>
    </row>
    <row r="110" spans="1:14">
      <c r="A110">
        <v>10352</v>
      </c>
      <c r="B110" t="s">
        <v>1387</v>
      </c>
      <c r="C110">
        <v>3</v>
      </c>
      <c r="D110" s="213">
        <v>35381</v>
      </c>
      <c r="E110" s="213">
        <v>35395</v>
      </c>
      <c r="F110" s="213">
        <v>35387</v>
      </c>
      <c r="G110">
        <v>3</v>
      </c>
      <c r="H110">
        <v>1.3</v>
      </c>
      <c r="I110" t="s">
        <v>1388</v>
      </c>
      <c r="J110" t="s">
        <v>1389</v>
      </c>
      <c r="K110" t="s">
        <v>1390</v>
      </c>
      <c r="M110">
        <v>1675</v>
      </c>
      <c r="N110" t="s">
        <v>1391</v>
      </c>
    </row>
    <row r="111" spans="1:14">
      <c r="A111">
        <v>10353</v>
      </c>
      <c r="B111" t="s">
        <v>1419</v>
      </c>
      <c r="C111">
        <v>7</v>
      </c>
      <c r="D111" s="213">
        <v>35382</v>
      </c>
      <c r="E111" s="213">
        <v>35410</v>
      </c>
      <c r="F111" s="213">
        <v>35394</v>
      </c>
      <c r="G111">
        <v>3</v>
      </c>
      <c r="H111">
        <v>360.63</v>
      </c>
      <c r="I111" t="s">
        <v>1420</v>
      </c>
      <c r="J111" t="s">
        <v>1421</v>
      </c>
      <c r="K111" t="s">
        <v>1422</v>
      </c>
      <c r="M111">
        <v>5020</v>
      </c>
      <c r="N111" t="s">
        <v>1222</v>
      </c>
    </row>
    <row r="112" spans="1:14">
      <c r="A112">
        <v>10354</v>
      </c>
      <c r="B112" t="s">
        <v>1372</v>
      </c>
      <c r="C112">
        <v>8</v>
      </c>
      <c r="D112" s="213">
        <v>35383</v>
      </c>
      <c r="E112" s="213">
        <v>35411</v>
      </c>
      <c r="F112" s="213">
        <v>35389</v>
      </c>
      <c r="G112">
        <v>3</v>
      </c>
      <c r="H112">
        <v>53.8</v>
      </c>
      <c r="I112" t="s">
        <v>1373</v>
      </c>
      <c r="J112" t="s">
        <v>1374</v>
      </c>
      <c r="K112" t="s">
        <v>1226</v>
      </c>
      <c r="M112">
        <v>5033</v>
      </c>
      <c r="N112" t="s">
        <v>1227</v>
      </c>
    </row>
    <row r="113" spans="1:14">
      <c r="A113">
        <v>10355</v>
      </c>
      <c r="B113" t="s">
        <v>1423</v>
      </c>
      <c r="C113">
        <v>6</v>
      </c>
      <c r="D113" s="213">
        <v>35384</v>
      </c>
      <c r="E113" s="213">
        <v>35412</v>
      </c>
      <c r="F113" s="213">
        <v>35389</v>
      </c>
      <c r="G113">
        <v>1</v>
      </c>
      <c r="H113">
        <v>41.95</v>
      </c>
      <c r="I113" t="s">
        <v>1424</v>
      </c>
      <c r="J113" t="s">
        <v>1425</v>
      </c>
    </row>
    <row r="114" spans="1:14">
      <c r="A114" t="s">
        <v>1426</v>
      </c>
      <c r="B114" t="s">
        <v>1427</v>
      </c>
      <c r="C114" t="s">
        <v>1428</v>
      </c>
      <c r="D114" t="s">
        <v>1429</v>
      </c>
      <c r="E114" t="s">
        <v>1321</v>
      </c>
    </row>
    <row r="115" spans="1:14">
      <c r="A115">
        <v>10356</v>
      </c>
      <c r="B115" t="s">
        <v>1336</v>
      </c>
      <c r="C115">
        <v>6</v>
      </c>
      <c r="D115" s="213">
        <v>35387</v>
      </c>
      <c r="E115" s="213">
        <v>35415</v>
      </c>
      <c r="F115" s="213">
        <v>35396</v>
      </c>
      <c r="G115">
        <v>2</v>
      </c>
      <c r="H115">
        <v>36.71</v>
      </c>
      <c r="I115" t="s">
        <v>1337</v>
      </c>
      <c r="J115" t="s">
        <v>1338</v>
      </c>
      <c r="K115" t="s">
        <v>1339</v>
      </c>
      <c r="M115">
        <v>70563</v>
      </c>
      <c r="N115" t="s">
        <v>1184</v>
      </c>
    </row>
    <row r="116" spans="1:14">
      <c r="A116">
        <v>10357</v>
      </c>
      <c r="B116" t="s">
        <v>1303</v>
      </c>
      <c r="C116">
        <v>1</v>
      </c>
      <c r="D116" s="213">
        <v>35388</v>
      </c>
      <c r="E116" s="213">
        <v>35416</v>
      </c>
      <c r="F116" s="213">
        <v>35401</v>
      </c>
      <c r="G116">
        <v>3</v>
      </c>
      <c r="H116">
        <v>34.880000000000003</v>
      </c>
      <c r="I116" t="s">
        <v>1304</v>
      </c>
      <c r="J116" t="s">
        <v>1305</v>
      </c>
      <c r="K116" t="s">
        <v>1306</v>
      </c>
      <c r="L116" t="s">
        <v>1307</v>
      </c>
      <c r="M116">
        <v>3508</v>
      </c>
      <c r="N116" t="s">
        <v>1217</v>
      </c>
    </row>
    <row r="117" spans="1:14">
      <c r="A117">
        <v>10358</v>
      </c>
      <c r="B117" t="s">
        <v>1415</v>
      </c>
      <c r="C117">
        <v>5</v>
      </c>
      <c r="D117" s="213">
        <v>35389</v>
      </c>
      <c r="E117" s="213">
        <v>35417</v>
      </c>
      <c r="F117" s="213">
        <v>35396</v>
      </c>
      <c r="G117">
        <v>1</v>
      </c>
      <c r="H117">
        <v>19.64</v>
      </c>
      <c r="I117" t="s">
        <v>1416</v>
      </c>
      <c r="J117" t="s">
        <v>1417</v>
      </c>
      <c r="K117" t="s">
        <v>1418</v>
      </c>
      <c r="M117">
        <v>31000</v>
      </c>
      <c r="N117" t="s">
        <v>824</v>
      </c>
    </row>
    <row r="118" spans="1:14">
      <c r="A118">
        <v>10359</v>
      </c>
      <c r="B118" t="s">
        <v>1430</v>
      </c>
      <c r="C118">
        <v>5</v>
      </c>
      <c r="D118" s="213">
        <v>35390</v>
      </c>
      <c r="E118" s="213">
        <v>35418</v>
      </c>
      <c r="F118" s="213">
        <v>35395</v>
      </c>
      <c r="G118">
        <v>3</v>
      </c>
      <c r="H118">
        <v>288.43</v>
      </c>
      <c r="I118" t="s">
        <v>1431</v>
      </c>
      <c r="J118" t="s">
        <v>1432</v>
      </c>
      <c r="K118" t="s">
        <v>1319</v>
      </c>
      <c r="M118" t="s">
        <v>1433</v>
      </c>
      <c r="N118" t="s">
        <v>1321</v>
      </c>
    </row>
    <row r="119" spans="1:14">
      <c r="A119">
        <v>10360</v>
      </c>
      <c r="B119" t="s">
        <v>1247</v>
      </c>
      <c r="C119">
        <v>4</v>
      </c>
      <c r="D119" s="213">
        <v>35391</v>
      </c>
      <c r="E119" s="213">
        <v>35419</v>
      </c>
      <c r="F119" s="213">
        <v>35401</v>
      </c>
      <c r="G119">
        <v>3</v>
      </c>
      <c r="H119">
        <v>131.69999999999999</v>
      </c>
      <c r="I119" t="s">
        <v>1248</v>
      </c>
      <c r="J119" t="s">
        <v>1249</v>
      </c>
      <c r="K119" t="s">
        <v>1250</v>
      </c>
      <c r="M119">
        <v>67000</v>
      </c>
      <c r="N119" t="s">
        <v>824</v>
      </c>
    </row>
    <row r="120" spans="1:14">
      <c r="A120">
        <v>10361</v>
      </c>
      <c r="B120" t="s">
        <v>1274</v>
      </c>
      <c r="C120">
        <v>1</v>
      </c>
      <c r="D120" s="213">
        <v>35391</v>
      </c>
      <c r="E120" s="213">
        <v>35419</v>
      </c>
      <c r="F120" s="213">
        <v>35402</v>
      </c>
      <c r="G120">
        <v>2</v>
      </c>
      <c r="H120">
        <v>183.17</v>
      </c>
      <c r="I120" t="s">
        <v>1275</v>
      </c>
      <c r="J120" t="s">
        <v>1276</v>
      </c>
      <c r="K120" t="s">
        <v>1277</v>
      </c>
      <c r="M120">
        <v>1307</v>
      </c>
      <c r="N120" t="s">
        <v>1184</v>
      </c>
    </row>
    <row r="121" spans="1:14">
      <c r="A121">
        <v>10362</v>
      </c>
      <c r="B121" t="s">
        <v>1392</v>
      </c>
      <c r="C121">
        <v>3</v>
      </c>
      <c r="D121" s="213">
        <v>35394</v>
      </c>
      <c r="E121" s="213">
        <v>35422</v>
      </c>
      <c r="F121" s="213">
        <v>35397</v>
      </c>
      <c r="G121">
        <v>1</v>
      </c>
      <c r="H121">
        <v>96.04</v>
      </c>
      <c r="I121" t="s">
        <v>1393</v>
      </c>
      <c r="J121" t="s">
        <v>1394</v>
      </c>
      <c r="K121" t="s">
        <v>1395</v>
      </c>
      <c r="M121">
        <v>13008</v>
      </c>
      <c r="N121" t="s">
        <v>824</v>
      </c>
    </row>
    <row r="122" spans="1:14">
      <c r="A122">
        <v>10363</v>
      </c>
      <c r="B122" t="s">
        <v>1434</v>
      </c>
      <c r="C122">
        <v>4</v>
      </c>
      <c r="D122" s="213">
        <v>35395</v>
      </c>
      <c r="E122" s="213">
        <v>35423</v>
      </c>
      <c r="F122" s="213">
        <v>35403</v>
      </c>
      <c r="G122">
        <v>3</v>
      </c>
      <c r="H122">
        <v>30.54</v>
      </c>
      <c r="I122" t="s">
        <v>1435</v>
      </c>
      <c r="J122" t="s">
        <v>1436</v>
      </c>
      <c r="K122" t="s">
        <v>1437</v>
      </c>
      <c r="M122">
        <v>52066</v>
      </c>
      <c r="N122" t="s">
        <v>1184</v>
      </c>
    </row>
    <row r="123" spans="1:14">
      <c r="A123">
        <v>10364</v>
      </c>
      <c r="B123" t="s">
        <v>1438</v>
      </c>
      <c r="C123">
        <v>1</v>
      </c>
      <c r="D123" s="213">
        <v>35395</v>
      </c>
      <c r="E123" s="213">
        <v>35437</v>
      </c>
      <c r="F123" s="213">
        <v>35403</v>
      </c>
      <c r="G123">
        <v>1</v>
      </c>
      <c r="H123">
        <v>71.97</v>
      </c>
      <c r="I123" t="s">
        <v>1439</v>
      </c>
      <c r="J123" t="s">
        <v>1440</v>
      </c>
      <c r="K123" t="s">
        <v>1319</v>
      </c>
      <c r="M123" t="s">
        <v>1441</v>
      </c>
      <c r="N123" t="s">
        <v>1321</v>
      </c>
    </row>
    <row r="124" spans="1:14">
      <c r="A124">
        <v>10365</v>
      </c>
      <c r="B124" t="s">
        <v>1442</v>
      </c>
      <c r="C124">
        <v>3</v>
      </c>
      <c r="D124" s="213">
        <v>35396</v>
      </c>
      <c r="E124" s="213">
        <v>35424</v>
      </c>
      <c r="F124" s="213">
        <v>35401</v>
      </c>
      <c r="G124">
        <v>2</v>
      </c>
      <c r="H124">
        <v>22</v>
      </c>
      <c r="I124" t="s">
        <v>1443</v>
      </c>
      <c r="J124" t="s">
        <v>1444</v>
      </c>
      <c r="K124" t="s">
        <v>1226</v>
      </c>
      <c r="M124">
        <v>5023</v>
      </c>
      <c r="N124" t="s">
        <v>1227</v>
      </c>
    </row>
    <row r="125" spans="1:14">
      <c r="A125">
        <v>10366</v>
      </c>
      <c r="B125" t="s">
        <v>1445</v>
      </c>
      <c r="C125">
        <v>8</v>
      </c>
      <c r="D125" s="213">
        <v>35397</v>
      </c>
      <c r="E125" s="213">
        <v>35439</v>
      </c>
      <c r="F125" s="213">
        <v>35429</v>
      </c>
      <c r="G125">
        <v>2</v>
      </c>
      <c r="H125">
        <v>10.14</v>
      </c>
      <c r="I125" t="s">
        <v>1446</v>
      </c>
      <c r="J125" t="s">
        <v>1447</v>
      </c>
      <c r="K125" t="s">
        <v>1448</v>
      </c>
      <c r="M125">
        <v>8022</v>
      </c>
      <c r="N125" t="s">
        <v>1302</v>
      </c>
    </row>
    <row r="126" spans="1:14">
      <c r="A126">
        <v>10367</v>
      </c>
      <c r="B126" t="s">
        <v>1449</v>
      </c>
      <c r="C126">
        <v>7</v>
      </c>
      <c r="D126" s="213">
        <v>35397</v>
      </c>
      <c r="E126" s="213">
        <v>35425</v>
      </c>
      <c r="F126" s="213">
        <v>35401</v>
      </c>
      <c r="G126">
        <v>3</v>
      </c>
      <c r="H126">
        <v>13.55</v>
      </c>
      <c r="I126" t="s">
        <v>1450</v>
      </c>
      <c r="J126" t="s">
        <v>1451</v>
      </c>
      <c r="K126" t="s">
        <v>1452</v>
      </c>
      <c r="M126">
        <v>8200</v>
      </c>
      <c r="N126" t="s">
        <v>1410</v>
      </c>
    </row>
    <row r="127" spans="1:14">
      <c r="A127">
        <v>10368</v>
      </c>
      <c r="B127" t="s">
        <v>1218</v>
      </c>
      <c r="C127">
        <v>2</v>
      </c>
      <c r="D127" s="213">
        <v>35398</v>
      </c>
      <c r="E127" s="213">
        <v>35426</v>
      </c>
      <c r="F127" s="213">
        <v>35401</v>
      </c>
      <c r="G127">
        <v>2</v>
      </c>
      <c r="H127">
        <v>101.95</v>
      </c>
      <c r="I127" t="s">
        <v>1219</v>
      </c>
      <c r="J127" t="s">
        <v>1220</v>
      </c>
      <c r="K127" t="s">
        <v>1221</v>
      </c>
      <c r="M127">
        <v>8010</v>
      </c>
      <c r="N127" t="s">
        <v>1222</v>
      </c>
    </row>
    <row r="128" spans="1:14">
      <c r="A128">
        <v>10369</v>
      </c>
      <c r="B128" t="s">
        <v>1269</v>
      </c>
      <c r="C128">
        <v>8</v>
      </c>
      <c r="D128" s="213">
        <v>35401</v>
      </c>
      <c r="E128" s="213">
        <v>35429</v>
      </c>
      <c r="F128" s="213">
        <v>35408</v>
      </c>
      <c r="G128">
        <v>2</v>
      </c>
      <c r="H128">
        <v>195.68</v>
      </c>
      <c r="I128" t="s">
        <v>1270</v>
      </c>
      <c r="J128" t="s">
        <v>1271</v>
      </c>
      <c r="K128" t="s">
        <v>1272</v>
      </c>
      <c r="L128" t="s">
        <v>1273</v>
      </c>
      <c r="M128">
        <v>82520</v>
      </c>
      <c r="N128" t="s">
        <v>1241</v>
      </c>
    </row>
    <row r="129" spans="1:14">
      <c r="A129">
        <v>10370</v>
      </c>
      <c r="B129" t="s">
        <v>1198</v>
      </c>
      <c r="C129">
        <v>6</v>
      </c>
      <c r="D129" s="213">
        <v>35402</v>
      </c>
      <c r="E129" s="213">
        <v>35430</v>
      </c>
      <c r="F129" s="213">
        <v>35426</v>
      </c>
      <c r="G129">
        <v>2</v>
      </c>
      <c r="H129">
        <v>1.17</v>
      </c>
      <c r="I129" t="s">
        <v>1199</v>
      </c>
      <c r="J129" t="s">
        <v>1200</v>
      </c>
      <c r="K129" t="s">
        <v>1201</v>
      </c>
      <c r="M129">
        <v>3012</v>
      </c>
      <c r="N129" t="s">
        <v>1202</v>
      </c>
    </row>
    <row r="130" spans="1:14">
      <c r="A130">
        <v>10371</v>
      </c>
      <c r="B130" t="s">
        <v>1415</v>
      </c>
      <c r="C130">
        <v>1</v>
      </c>
      <c r="D130" s="213">
        <v>35402</v>
      </c>
      <c r="E130" s="213">
        <v>35430</v>
      </c>
      <c r="F130" s="213">
        <v>35423</v>
      </c>
      <c r="G130">
        <v>1</v>
      </c>
      <c r="H130">
        <v>0.45</v>
      </c>
      <c r="I130" t="s">
        <v>1416</v>
      </c>
      <c r="J130" t="s">
        <v>1417</v>
      </c>
      <c r="K130" t="s">
        <v>1418</v>
      </c>
      <c r="M130">
        <v>31000</v>
      </c>
      <c r="N130" t="s">
        <v>824</v>
      </c>
    </row>
    <row r="131" spans="1:14">
      <c r="A131">
        <v>10372</v>
      </c>
      <c r="B131" t="s">
        <v>1453</v>
      </c>
      <c r="C131">
        <v>5</v>
      </c>
      <c r="D131" s="213">
        <v>35403</v>
      </c>
      <c r="E131" s="213">
        <v>35431</v>
      </c>
      <c r="F131" s="213">
        <v>35408</v>
      </c>
      <c r="G131">
        <v>2</v>
      </c>
      <c r="H131">
        <v>890.78</v>
      </c>
      <c r="I131" t="s">
        <v>1454</v>
      </c>
      <c r="J131" t="s">
        <v>1455</v>
      </c>
      <c r="K131" t="s">
        <v>983</v>
      </c>
      <c r="L131" t="s">
        <v>38</v>
      </c>
      <c r="M131" t="s">
        <v>1456</v>
      </c>
      <c r="N131" t="s">
        <v>831</v>
      </c>
    </row>
    <row r="132" spans="1:14">
      <c r="A132">
        <v>10373</v>
      </c>
      <c r="B132" t="s">
        <v>1330</v>
      </c>
      <c r="C132">
        <v>4</v>
      </c>
      <c r="D132" s="213">
        <v>35404</v>
      </c>
      <c r="E132" s="213">
        <v>35432</v>
      </c>
      <c r="F132" s="213">
        <v>35410</v>
      </c>
      <c r="G132">
        <v>3</v>
      </c>
      <c r="H132">
        <v>124.12</v>
      </c>
      <c r="I132" t="s">
        <v>1331</v>
      </c>
      <c r="J132" t="s">
        <v>1332</v>
      </c>
      <c r="K132" t="s">
        <v>1333</v>
      </c>
      <c r="L132" t="s">
        <v>1334</v>
      </c>
      <c r="N132" t="s">
        <v>1335</v>
      </c>
    </row>
    <row r="133" spans="1:14">
      <c r="A133">
        <v>10374</v>
      </c>
      <c r="B133" t="s">
        <v>1457</v>
      </c>
      <c r="C133">
        <v>1</v>
      </c>
      <c r="D133" s="213">
        <v>35404</v>
      </c>
      <c r="E133" s="213">
        <v>35432</v>
      </c>
      <c r="F133" s="213">
        <v>35408</v>
      </c>
      <c r="G133">
        <v>3</v>
      </c>
      <c r="H133">
        <v>3.94</v>
      </c>
      <c r="I133" t="s">
        <v>1458</v>
      </c>
      <c r="J133" t="s">
        <v>1459</v>
      </c>
      <c r="K133" t="s">
        <v>1460</v>
      </c>
      <c r="M133" t="s">
        <v>1461</v>
      </c>
      <c r="N133" t="s">
        <v>1462</v>
      </c>
    </row>
    <row r="134" spans="1:14">
      <c r="A134">
        <v>10375</v>
      </c>
      <c r="B134" t="s">
        <v>1463</v>
      </c>
      <c r="C134">
        <v>3</v>
      </c>
      <c r="D134" s="213">
        <v>35405</v>
      </c>
      <c r="E134" s="213">
        <v>35433</v>
      </c>
      <c r="F134" s="213">
        <v>35408</v>
      </c>
      <c r="G134">
        <v>2</v>
      </c>
      <c r="H134">
        <v>20.12</v>
      </c>
      <c r="I134" t="s">
        <v>1464</v>
      </c>
      <c r="J134" t="s">
        <v>1465</v>
      </c>
    </row>
    <row r="135" spans="1:14">
      <c r="A135" t="s">
        <v>1466</v>
      </c>
      <c r="B135" t="s">
        <v>1467</v>
      </c>
      <c r="C135" t="s">
        <v>1353</v>
      </c>
      <c r="D135">
        <v>97827</v>
      </c>
      <c r="E135" t="s">
        <v>1241</v>
      </c>
    </row>
    <row r="136" spans="1:14">
      <c r="A136">
        <v>10376</v>
      </c>
      <c r="B136" t="s">
        <v>1396</v>
      </c>
      <c r="C136">
        <v>1</v>
      </c>
      <c r="D136" s="213">
        <v>35408</v>
      </c>
      <c r="E136" s="213">
        <v>35436</v>
      </c>
      <c r="F136" s="213">
        <v>35412</v>
      </c>
      <c r="G136">
        <v>2</v>
      </c>
      <c r="H136">
        <v>20.39</v>
      </c>
      <c r="I136" t="s">
        <v>1397</v>
      </c>
      <c r="J136" t="s">
        <v>1398</v>
      </c>
      <c r="K136" t="s">
        <v>1399</v>
      </c>
      <c r="L136" t="s">
        <v>1400</v>
      </c>
      <c r="M136" t="s">
        <v>1401</v>
      </c>
      <c r="N136" t="s">
        <v>1402</v>
      </c>
    </row>
    <row r="137" spans="1:14">
      <c r="A137">
        <v>10377</v>
      </c>
      <c r="B137" t="s">
        <v>1430</v>
      </c>
      <c r="C137">
        <v>1</v>
      </c>
      <c r="D137" s="213">
        <v>35408</v>
      </c>
      <c r="E137" s="213">
        <v>35436</v>
      </c>
      <c r="F137" s="213">
        <v>35412</v>
      </c>
      <c r="G137">
        <v>3</v>
      </c>
      <c r="H137">
        <v>22.21</v>
      </c>
      <c r="I137" t="s">
        <v>1431</v>
      </c>
      <c r="J137" t="s">
        <v>1432</v>
      </c>
      <c r="K137" t="s">
        <v>1319</v>
      </c>
      <c r="M137" t="s">
        <v>1433</v>
      </c>
      <c r="N137" t="s">
        <v>1321</v>
      </c>
    </row>
    <row r="138" spans="1:14">
      <c r="A138">
        <v>10378</v>
      </c>
      <c r="B138" t="s">
        <v>1242</v>
      </c>
      <c r="C138">
        <v>5</v>
      </c>
      <c r="D138" s="213">
        <v>35409</v>
      </c>
      <c r="E138" s="213">
        <v>35437</v>
      </c>
      <c r="F138" s="213">
        <v>35418</v>
      </c>
      <c r="G138">
        <v>3</v>
      </c>
      <c r="H138">
        <v>5.44</v>
      </c>
      <c r="I138" t="s">
        <v>1243</v>
      </c>
      <c r="J138" t="s">
        <v>1244</v>
      </c>
      <c r="K138" t="s">
        <v>1245</v>
      </c>
      <c r="M138" t="s">
        <v>1246</v>
      </c>
      <c r="N138" t="s">
        <v>829</v>
      </c>
    </row>
    <row r="139" spans="1:14">
      <c r="A139">
        <v>10379</v>
      </c>
      <c r="B139" t="s">
        <v>1232</v>
      </c>
      <c r="C139">
        <v>2</v>
      </c>
      <c r="D139" s="213">
        <v>35410</v>
      </c>
      <c r="E139" s="213">
        <v>35438</v>
      </c>
      <c r="F139" s="213">
        <v>35412</v>
      </c>
      <c r="G139">
        <v>1</v>
      </c>
      <c r="H139">
        <v>45.03</v>
      </c>
      <c r="I139" t="s">
        <v>1233</v>
      </c>
      <c r="J139" t="s">
        <v>1234</v>
      </c>
      <c r="K139" t="s">
        <v>1158</v>
      </c>
      <c r="L139" t="s">
        <v>57</v>
      </c>
      <c r="M139" t="s">
        <v>1235</v>
      </c>
      <c r="N139" t="s">
        <v>831</v>
      </c>
    </row>
    <row r="140" spans="1:14">
      <c r="A140">
        <v>10380</v>
      </c>
      <c r="B140" t="s">
        <v>1330</v>
      </c>
      <c r="C140">
        <v>8</v>
      </c>
      <c r="D140" s="213">
        <v>35411</v>
      </c>
      <c r="E140" s="213">
        <v>35439</v>
      </c>
      <c r="F140" s="213">
        <v>35446</v>
      </c>
      <c r="G140">
        <v>3</v>
      </c>
      <c r="H140">
        <v>35.03</v>
      </c>
      <c r="I140" t="s">
        <v>1331</v>
      </c>
      <c r="J140" t="s">
        <v>1332</v>
      </c>
      <c r="K140" t="s">
        <v>1333</v>
      </c>
      <c r="L140" t="s">
        <v>1334</v>
      </c>
      <c r="N140" t="s">
        <v>1335</v>
      </c>
    </row>
    <row r="141" spans="1:14">
      <c r="A141">
        <v>10381</v>
      </c>
      <c r="B141" t="s">
        <v>1303</v>
      </c>
      <c r="C141">
        <v>3</v>
      </c>
      <c r="D141" s="213">
        <v>35411</v>
      </c>
      <c r="E141" s="213">
        <v>35439</v>
      </c>
      <c r="F141" s="213">
        <v>35412</v>
      </c>
      <c r="G141">
        <v>3</v>
      </c>
      <c r="H141">
        <v>7.99</v>
      </c>
      <c r="I141" t="s">
        <v>1304</v>
      </c>
      <c r="J141" t="s">
        <v>1305</v>
      </c>
      <c r="K141" t="s">
        <v>1306</v>
      </c>
      <c r="L141" t="s">
        <v>1307</v>
      </c>
      <c r="M141">
        <v>3508</v>
      </c>
      <c r="N141" t="s">
        <v>1217</v>
      </c>
    </row>
    <row r="142" spans="1:14">
      <c r="A142">
        <v>10382</v>
      </c>
      <c r="B142" t="s">
        <v>1218</v>
      </c>
      <c r="C142">
        <v>4</v>
      </c>
      <c r="D142" s="213">
        <v>35412</v>
      </c>
      <c r="E142" s="213">
        <v>35440</v>
      </c>
      <c r="F142" s="213">
        <v>35415</v>
      </c>
      <c r="G142">
        <v>1</v>
      </c>
      <c r="H142">
        <v>94.77</v>
      </c>
      <c r="I142" t="s">
        <v>1219</v>
      </c>
      <c r="J142" t="s">
        <v>1220</v>
      </c>
      <c r="K142" t="s">
        <v>1221</v>
      </c>
      <c r="M142">
        <v>8010</v>
      </c>
      <c r="N142" t="s">
        <v>1222</v>
      </c>
    </row>
    <row r="143" spans="1:14">
      <c r="A143">
        <v>10383</v>
      </c>
      <c r="B143" t="s">
        <v>1423</v>
      </c>
      <c r="C143">
        <v>8</v>
      </c>
      <c r="D143" s="213">
        <v>35415</v>
      </c>
      <c r="E143" s="213">
        <v>35443</v>
      </c>
      <c r="F143" s="213">
        <v>35417</v>
      </c>
      <c r="G143">
        <v>3</v>
      </c>
      <c r="H143">
        <v>34.24</v>
      </c>
      <c r="I143" t="s">
        <v>1424</v>
      </c>
      <c r="J143" t="s">
        <v>1425</v>
      </c>
    </row>
    <row r="144" spans="1:14">
      <c r="A144" t="s">
        <v>1426</v>
      </c>
      <c r="B144" t="s">
        <v>1427</v>
      </c>
      <c r="C144" t="s">
        <v>1428</v>
      </c>
      <c r="D144" t="s">
        <v>1429</v>
      </c>
      <c r="E144" t="s">
        <v>1321</v>
      </c>
    </row>
    <row r="145" spans="1:14">
      <c r="A145">
        <v>10384</v>
      </c>
      <c r="B145" t="s">
        <v>1289</v>
      </c>
      <c r="C145">
        <v>3</v>
      </c>
      <c r="D145" s="213">
        <v>35415</v>
      </c>
      <c r="E145" s="213">
        <v>35443</v>
      </c>
      <c r="F145" s="213">
        <v>35419</v>
      </c>
      <c r="G145">
        <v>3</v>
      </c>
      <c r="H145">
        <v>168.64</v>
      </c>
      <c r="I145" t="s">
        <v>1290</v>
      </c>
      <c r="J145" t="s">
        <v>1291</v>
      </c>
      <c r="K145" t="s">
        <v>1292</v>
      </c>
      <c r="M145" t="s">
        <v>1293</v>
      </c>
      <c r="N145" t="s">
        <v>829</v>
      </c>
    </row>
    <row r="146" spans="1:14">
      <c r="A146">
        <v>10385</v>
      </c>
      <c r="B146" t="s">
        <v>1269</v>
      </c>
      <c r="C146">
        <v>1</v>
      </c>
      <c r="D146" s="213">
        <v>35416</v>
      </c>
      <c r="E146" s="213">
        <v>35444</v>
      </c>
      <c r="F146" s="213">
        <v>35422</v>
      </c>
      <c r="G146">
        <v>2</v>
      </c>
      <c r="H146">
        <v>30.96</v>
      </c>
      <c r="I146" t="s">
        <v>1270</v>
      </c>
      <c r="J146" t="s">
        <v>1271</v>
      </c>
      <c r="K146" t="s">
        <v>1272</v>
      </c>
      <c r="L146" t="s">
        <v>1273</v>
      </c>
      <c r="M146">
        <v>82520</v>
      </c>
      <c r="N146" t="s">
        <v>1241</v>
      </c>
    </row>
    <row r="147" spans="1:14">
      <c r="A147">
        <v>10386</v>
      </c>
      <c r="B147" t="s">
        <v>1411</v>
      </c>
      <c r="C147">
        <v>9</v>
      </c>
      <c r="D147" s="213">
        <v>35417</v>
      </c>
      <c r="E147" s="213">
        <v>35431</v>
      </c>
      <c r="F147" s="213">
        <v>35424</v>
      </c>
      <c r="G147">
        <v>3</v>
      </c>
      <c r="H147">
        <v>13.99</v>
      </c>
      <c r="I147" t="s">
        <v>1412</v>
      </c>
      <c r="J147" t="s">
        <v>1413</v>
      </c>
      <c r="K147" t="s">
        <v>983</v>
      </c>
      <c r="L147" t="s">
        <v>38</v>
      </c>
      <c r="M147" t="s">
        <v>1414</v>
      </c>
      <c r="N147" t="s">
        <v>831</v>
      </c>
    </row>
    <row r="148" spans="1:14">
      <c r="A148">
        <v>10387</v>
      </c>
      <c r="B148" t="s">
        <v>1468</v>
      </c>
      <c r="C148">
        <v>1</v>
      </c>
      <c r="D148" s="213">
        <v>35417</v>
      </c>
      <c r="E148" s="213">
        <v>35445</v>
      </c>
      <c r="F148" s="213">
        <v>35419</v>
      </c>
      <c r="G148">
        <v>2</v>
      </c>
      <c r="H148">
        <v>93.63</v>
      </c>
      <c r="I148" t="s">
        <v>1469</v>
      </c>
      <c r="J148" t="s">
        <v>1470</v>
      </c>
      <c r="K148" t="s">
        <v>1471</v>
      </c>
      <c r="M148">
        <v>4110</v>
      </c>
      <c r="N148" t="s">
        <v>1472</v>
      </c>
    </row>
    <row r="149" spans="1:14">
      <c r="A149">
        <v>10388</v>
      </c>
      <c r="B149" t="s">
        <v>1430</v>
      </c>
      <c r="C149">
        <v>2</v>
      </c>
      <c r="D149" s="213">
        <v>35418</v>
      </c>
      <c r="E149" s="213">
        <v>35446</v>
      </c>
      <c r="F149" s="213">
        <v>35419</v>
      </c>
      <c r="G149">
        <v>1</v>
      </c>
      <c r="H149">
        <v>34.86</v>
      </c>
      <c r="I149" t="s">
        <v>1431</v>
      </c>
      <c r="J149" t="s">
        <v>1432</v>
      </c>
      <c r="K149" t="s">
        <v>1319</v>
      </c>
      <c r="M149" t="s">
        <v>1433</v>
      </c>
      <c r="N149" t="s">
        <v>1321</v>
      </c>
    </row>
    <row r="150" spans="1:14">
      <c r="A150">
        <v>10389</v>
      </c>
      <c r="B150" t="s">
        <v>1473</v>
      </c>
      <c r="C150">
        <v>4</v>
      </c>
      <c r="D150" s="213">
        <v>35419</v>
      </c>
      <c r="E150" s="213">
        <v>35447</v>
      </c>
      <c r="F150" s="213">
        <v>35423</v>
      </c>
      <c r="G150">
        <v>2</v>
      </c>
      <c r="H150">
        <v>47.42</v>
      </c>
      <c r="I150" t="s">
        <v>1474</v>
      </c>
      <c r="J150" t="s">
        <v>1475</v>
      </c>
      <c r="K150" t="s">
        <v>1476</v>
      </c>
      <c r="L150" t="s">
        <v>1477</v>
      </c>
      <c r="M150" t="s">
        <v>1478</v>
      </c>
      <c r="N150" t="s">
        <v>1402</v>
      </c>
    </row>
    <row r="151" spans="1:14">
      <c r="A151">
        <v>10390</v>
      </c>
      <c r="B151" t="s">
        <v>1218</v>
      </c>
      <c r="C151">
        <v>6</v>
      </c>
      <c r="D151" s="213">
        <v>35422</v>
      </c>
      <c r="E151" s="213">
        <v>35450</v>
      </c>
      <c r="F151" s="213">
        <v>35425</v>
      </c>
      <c r="G151">
        <v>1</v>
      </c>
      <c r="H151">
        <v>126.38</v>
      </c>
      <c r="I151" t="s">
        <v>1219</v>
      </c>
      <c r="J151" t="s">
        <v>1220</v>
      </c>
      <c r="K151" t="s">
        <v>1221</v>
      </c>
      <c r="M151">
        <v>8010</v>
      </c>
      <c r="N151" t="s">
        <v>1222</v>
      </c>
    </row>
    <row r="152" spans="1:14">
      <c r="A152">
        <v>10391</v>
      </c>
      <c r="B152" t="s">
        <v>1434</v>
      </c>
      <c r="C152">
        <v>3</v>
      </c>
      <c r="D152" s="213">
        <v>35422</v>
      </c>
      <c r="E152" s="213">
        <v>35450</v>
      </c>
      <c r="F152" s="213">
        <v>35430</v>
      </c>
      <c r="G152">
        <v>3</v>
      </c>
      <c r="H152">
        <v>5.45</v>
      </c>
      <c r="I152" t="s">
        <v>1435</v>
      </c>
      <c r="J152" t="s">
        <v>1436</v>
      </c>
      <c r="K152" t="s">
        <v>1437</v>
      </c>
      <c r="M152">
        <v>52066</v>
      </c>
      <c r="N152" t="s">
        <v>1184</v>
      </c>
    </row>
    <row r="153" spans="1:14">
      <c r="A153">
        <v>10392</v>
      </c>
      <c r="B153" t="s">
        <v>1419</v>
      </c>
      <c r="C153">
        <v>2</v>
      </c>
      <c r="D153" s="213">
        <v>35423</v>
      </c>
      <c r="E153" s="213">
        <v>35451</v>
      </c>
      <c r="F153" s="213">
        <v>35431</v>
      </c>
      <c r="G153">
        <v>3</v>
      </c>
      <c r="H153">
        <v>122.46</v>
      </c>
      <c r="I153" t="s">
        <v>1420</v>
      </c>
      <c r="J153" t="s">
        <v>1421</v>
      </c>
      <c r="K153" t="s">
        <v>1422</v>
      </c>
      <c r="M153">
        <v>5020</v>
      </c>
      <c r="N153" t="s">
        <v>1222</v>
      </c>
    </row>
    <row r="154" spans="1:14">
      <c r="A154">
        <v>10393</v>
      </c>
      <c r="B154" t="s">
        <v>1379</v>
      </c>
      <c r="C154">
        <v>1</v>
      </c>
      <c r="D154" s="213">
        <v>35424</v>
      </c>
      <c r="E154" s="213">
        <v>35452</v>
      </c>
      <c r="F154" s="213">
        <v>35433</v>
      </c>
      <c r="G154">
        <v>3</v>
      </c>
      <c r="H154">
        <v>126.56</v>
      </c>
      <c r="I154" t="s">
        <v>1380</v>
      </c>
      <c r="J154" t="s">
        <v>1381</v>
      </c>
      <c r="K154" t="s">
        <v>1382</v>
      </c>
      <c r="L154" t="s">
        <v>1383</v>
      </c>
      <c r="M154">
        <v>83720</v>
      </c>
      <c r="N154" t="s">
        <v>1241</v>
      </c>
    </row>
    <row r="155" spans="1:14">
      <c r="A155">
        <v>10394</v>
      </c>
      <c r="B155" t="s">
        <v>1463</v>
      </c>
      <c r="C155">
        <v>1</v>
      </c>
      <c r="D155" s="213">
        <v>35424</v>
      </c>
      <c r="E155" s="213">
        <v>35452</v>
      </c>
      <c r="F155" s="213">
        <v>35433</v>
      </c>
      <c r="G155">
        <v>3</v>
      </c>
      <c r="H155">
        <v>30.34</v>
      </c>
      <c r="I155" t="s">
        <v>1464</v>
      </c>
      <c r="J155" t="s">
        <v>1465</v>
      </c>
    </row>
    <row r="156" spans="1:14">
      <c r="A156" t="s">
        <v>1466</v>
      </c>
      <c r="B156" t="s">
        <v>1467</v>
      </c>
      <c r="C156" t="s">
        <v>1353</v>
      </c>
      <c r="D156">
        <v>97827</v>
      </c>
      <c r="E156" t="s">
        <v>1241</v>
      </c>
    </row>
    <row r="157" spans="1:14">
      <c r="A157">
        <v>10395</v>
      </c>
      <c r="B157" t="s">
        <v>1212</v>
      </c>
      <c r="C157">
        <v>6</v>
      </c>
      <c r="D157" s="213">
        <v>35425</v>
      </c>
      <c r="E157" s="213">
        <v>35453</v>
      </c>
      <c r="F157" s="213">
        <v>35433</v>
      </c>
      <c r="G157">
        <v>1</v>
      </c>
      <c r="H157">
        <v>184.41</v>
      </c>
      <c r="I157" t="s">
        <v>1213</v>
      </c>
      <c r="J157" t="s">
        <v>1214</v>
      </c>
      <c r="K157" t="s">
        <v>1215</v>
      </c>
      <c r="L157" t="s">
        <v>1216</v>
      </c>
      <c r="M157">
        <v>5022</v>
      </c>
      <c r="N157" t="s">
        <v>1217</v>
      </c>
    </row>
    <row r="158" spans="1:14">
      <c r="A158">
        <v>10396</v>
      </c>
      <c r="B158" t="s">
        <v>1256</v>
      </c>
      <c r="C158">
        <v>1</v>
      </c>
      <c r="D158" s="213">
        <v>35426</v>
      </c>
      <c r="E158" s="213">
        <v>35440</v>
      </c>
      <c r="F158" s="213">
        <v>35436</v>
      </c>
      <c r="G158">
        <v>3</v>
      </c>
      <c r="H158">
        <v>135.35</v>
      </c>
      <c r="I158" t="s">
        <v>1257</v>
      </c>
      <c r="J158" t="s">
        <v>1258</v>
      </c>
      <c r="K158" t="s">
        <v>1259</v>
      </c>
      <c r="M158">
        <v>80805</v>
      </c>
      <c r="N158" t="s">
        <v>1184</v>
      </c>
    </row>
    <row r="159" spans="1:14">
      <c r="A159">
        <v>10397</v>
      </c>
      <c r="B159" t="s">
        <v>1403</v>
      </c>
      <c r="C159">
        <v>5</v>
      </c>
      <c r="D159" s="213">
        <v>35426</v>
      </c>
      <c r="E159" s="213">
        <v>35454</v>
      </c>
      <c r="F159" s="213">
        <v>35432</v>
      </c>
      <c r="G159">
        <v>1</v>
      </c>
      <c r="H159">
        <v>60.26</v>
      </c>
      <c r="I159" t="s">
        <v>1404</v>
      </c>
      <c r="J159" t="s">
        <v>1405</v>
      </c>
      <c r="K159" t="s">
        <v>1390</v>
      </c>
      <c r="M159">
        <v>1756</v>
      </c>
      <c r="N159" t="s">
        <v>1391</v>
      </c>
    </row>
    <row r="160" spans="1:14">
      <c r="A160">
        <v>10398</v>
      </c>
      <c r="B160" t="s">
        <v>1379</v>
      </c>
      <c r="C160">
        <v>2</v>
      </c>
      <c r="D160" s="213">
        <v>35429</v>
      </c>
      <c r="E160" s="213">
        <v>35457</v>
      </c>
      <c r="F160" s="213">
        <v>35439</v>
      </c>
      <c r="G160">
        <v>3</v>
      </c>
      <c r="H160">
        <v>89.16</v>
      </c>
      <c r="I160" t="s">
        <v>1380</v>
      </c>
      <c r="J160" t="s">
        <v>1381</v>
      </c>
      <c r="K160" t="s">
        <v>1382</v>
      </c>
      <c r="L160" t="s">
        <v>1383</v>
      </c>
      <c r="M160">
        <v>83720</v>
      </c>
      <c r="N160" t="s">
        <v>1241</v>
      </c>
    </row>
    <row r="161" spans="1:14">
      <c r="A161">
        <v>10399</v>
      </c>
      <c r="B161" t="s">
        <v>1449</v>
      </c>
      <c r="C161">
        <v>8</v>
      </c>
      <c r="D161" s="213">
        <v>35430</v>
      </c>
      <c r="E161" s="213">
        <v>35444</v>
      </c>
      <c r="F161" s="213">
        <v>35438</v>
      </c>
      <c r="G161">
        <v>3</v>
      </c>
      <c r="H161">
        <v>27.36</v>
      </c>
      <c r="I161" t="s">
        <v>1450</v>
      </c>
      <c r="J161" t="s">
        <v>1451</v>
      </c>
      <c r="K161" t="s">
        <v>1452</v>
      </c>
      <c r="M161">
        <v>8200</v>
      </c>
      <c r="N161" t="s">
        <v>1410</v>
      </c>
    </row>
    <row r="162" spans="1:14">
      <c r="A162">
        <v>10400</v>
      </c>
      <c r="B162" t="s">
        <v>1438</v>
      </c>
      <c r="C162">
        <v>1</v>
      </c>
      <c r="D162" s="213">
        <v>35431</v>
      </c>
      <c r="E162" s="213">
        <v>35459</v>
      </c>
      <c r="F162" s="213">
        <v>35446</v>
      </c>
      <c r="G162">
        <v>3</v>
      </c>
      <c r="H162">
        <v>83.93</v>
      </c>
      <c r="I162" t="s">
        <v>1439</v>
      </c>
      <c r="J162" t="s">
        <v>1440</v>
      </c>
      <c r="K162" t="s">
        <v>1319</v>
      </c>
      <c r="M162" t="s">
        <v>1441</v>
      </c>
      <c r="N162" t="s">
        <v>1321</v>
      </c>
    </row>
    <row r="163" spans="1:14">
      <c r="A163">
        <v>10401</v>
      </c>
      <c r="B163" t="s">
        <v>1236</v>
      </c>
      <c r="C163">
        <v>1</v>
      </c>
      <c r="D163" s="213">
        <v>35431</v>
      </c>
      <c r="E163" s="213">
        <v>35459</v>
      </c>
      <c r="F163" s="213">
        <v>35440</v>
      </c>
      <c r="G163">
        <v>1</v>
      </c>
      <c r="H163">
        <v>12.51</v>
      </c>
      <c r="I163" t="s">
        <v>1237</v>
      </c>
      <c r="J163" t="s">
        <v>1238</v>
      </c>
      <c r="K163" t="s">
        <v>1239</v>
      </c>
      <c r="L163" t="s">
        <v>1240</v>
      </c>
      <c r="M163">
        <v>87110</v>
      </c>
      <c r="N163" t="s">
        <v>1241</v>
      </c>
    </row>
    <row r="164" spans="1:14">
      <c r="A164">
        <v>10402</v>
      </c>
      <c r="B164" t="s">
        <v>1218</v>
      </c>
      <c r="C164">
        <v>8</v>
      </c>
      <c r="D164" s="213">
        <v>35432</v>
      </c>
      <c r="E164" s="213">
        <v>35474</v>
      </c>
      <c r="F164" s="213">
        <v>35440</v>
      </c>
      <c r="G164">
        <v>2</v>
      </c>
      <c r="H164">
        <v>67.88</v>
      </c>
      <c r="I164" t="s">
        <v>1219</v>
      </c>
      <c r="J164" t="s">
        <v>1220</v>
      </c>
      <c r="K164" t="s">
        <v>1221</v>
      </c>
      <c r="M164">
        <v>8010</v>
      </c>
      <c r="N164" t="s">
        <v>1222</v>
      </c>
    </row>
    <row r="165" spans="1:14">
      <c r="A165">
        <v>10403</v>
      </c>
      <c r="B165" t="s">
        <v>1218</v>
      </c>
      <c r="C165">
        <v>4</v>
      </c>
      <c r="D165" s="213">
        <v>35433</v>
      </c>
      <c r="E165" s="213">
        <v>35461</v>
      </c>
      <c r="F165" s="213">
        <v>35439</v>
      </c>
      <c r="G165">
        <v>3</v>
      </c>
      <c r="H165">
        <v>73.790000000000006</v>
      </c>
      <c r="I165" t="s">
        <v>1219</v>
      </c>
      <c r="J165" t="s">
        <v>1220</v>
      </c>
      <c r="K165" t="s">
        <v>1221</v>
      </c>
      <c r="M165">
        <v>8010</v>
      </c>
      <c r="N165" t="s">
        <v>1222</v>
      </c>
    </row>
    <row r="166" spans="1:14">
      <c r="A166">
        <v>10404</v>
      </c>
      <c r="B166" t="s">
        <v>1278</v>
      </c>
      <c r="C166">
        <v>2</v>
      </c>
      <c r="D166" s="213">
        <v>35433</v>
      </c>
      <c r="E166" s="213">
        <v>35461</v>
      </c>
      <c r="F166" s="213">
        <v>35438</v>
      </c>
      <c r="G166">
        <v>1</v>
      </c>
      <c r="H166">
        <v>155.97</v>
      </c>
      <c r="I166" t="s">
        <v>1279</v>
      </c>
      <c r="J166" t="s">
        <v>1280</v>
      </c>
      <c r="K166" t="s">
        <v>1281</v>
      </c>
      <c r="M166">
        <v>24100</v>
      </c>
      <c r="N166" t="s">
        <v>827</v>
      </c>
    </row>
    <row r="167" spans="1:14">
      <c r="A167">
        <v>10405</v>
      </c>
      <c r="B167" t="s">
        <v>1479</v>
      </c>
      <c r="C167">
        <v>1</v>
      </c>
      <c r="D167" s="213">
        <v>35436</v>
      </c>
      <c r="E167" s="213">
        <v>35464</v>
      </c>
      <c r="F167" s="213">
        <v>35452</v>
      </c>
      <c r="G167">
        <v>1</v>
      </c>
      <c r="H167">
        <v>34.82</v>
      </c>
      <c r="I167" t="s">
        <v>1480</v>
      </c>
      <c r="J167" t="s">
        <v>1481</v>
      </c>
      <c r="K167" t="s">
        <v>1482</v>
      </c>
      <c r="L167" t="s">
        <v>1483</v>
      </c>
      <c r="M167">
        <v>4980</v>
      </c>
      <c r="N167" t="s">
        <v>1217</v>
      </c>
    </row>
    <row r="168" spans="1:14">
      <c r="A168">
        <v>10406</v>
      </c>
      <c r="B168" t="s">
        <v>1453</v>
      </c>
      <c r="C168">
        <v>7</v>
      </c>
      <c r="D168" s="213">
        <v>35437</v>
      </c>
      <c r="E168" s="213">
        <v>35479</v>
      </c>
      <c r="F168" s="213">
        <v>35443</v>
      </c>
      <c r="G168">
        <v>1</v>
      </c>
      <c r="H168">
        <v>108.04</v>
      </c>
      <c r="I168" t="s">
        <v>1454</v>
      </c>
      <c r="J168" t="s">
        <v>1455</v>
      </c>
      <c r="K168" t="s">
        <v>983</v>
      </c>
      <c r="L168" t="s">
        <v>38</v>
      </c>
      <c r="M168" t="s">
        <v>1456</v>
      </c>
      <c r="N168" t="s">
        <v>831</v>
      </c>
    </row>
    <row r="169" spans="1:14">
      <c r="A169">
        <v>10407</v>
      </c>
      <c r="B169" t="s">
        <v>1228</v>
      </c>
      <c r="C169">
        <v>2</v>
      </c>
      <c r="D169" s="213">
        <v>35437</v>
      </c>
      <c r="E169" s="213">
        <v>35465</v>
      </c>
      <c r="F169" s="213">
        <v>35460</v>
      </c>
      <c r="G169">
        <v>2</v>
      </c>
      <c r="H169">
        <v>91.48</v>
      </c>
      <c r="I169" t="s">
        <v>1229</v>
      </c>
      <c r="J169" t="s">
        <v>1230</v>
      </c>
      <c r="K169" t="s">
        <v>1231</v>
      </c>
      <c r="M169">
        <v>50739</v>
      </c>
      <c r="N169" t="s">
        <v>1184</v>
      </c>
    </row>
    <row r="170" spans="1:14">
      <c r="A170">
        <v>10408</v>
      </c>
      <c r="B170" t="s">
        <v>1484</v>
      </c>
      <c r="C170">
        <v>8</v>
      </c>
      <c r="D170" s="213">
        <v>35438</v>
      </c>
      <c r="E170" s="213">
        <v>35466</v>
      </c>
      <c r="F170" s="213">
        <v>35444</v>
      </c>
      <c r="G170">
        <v>1</v>
      </c>
      <c r="H170">
        <v>11.26</v>
      </c>
      <c r="I170" t="s">
        <v>1485</v>
      </c>
      <c r="J170" t="s">
        <v>1486</v>
      </c>
      <c r="K170" t="s">
        <v>1487</v>
      </c>
      <c r="M170">
        <v>59000</v>
      </c>
      <c r="N170" t="s">
        <v>824</v>
      </c>
    </row>
    <row r="171" spans="1:14">
      <c r="A171">
        <v>10409</v>
      </c>
      <c r="B171" t="s">
        <v>1488</v>
      </c>
      <c r="C171">
        <v>3</v>
      </c>
      <c r="D171" s="213">
        <v>35439</v>
      </c>
      <c r="E171" s="213">
        <v>35467</v>
      </c>
      <c r="F171" s="213">
        <v>35444</v>
      </c>
      <c r="G171">
        <v>1</v>
      </c>
      <c r="H171">
        <v>29.83</v>
      </c>
      <c r="I171" t="s">
        <v>1489</v>
      </c>
      <c r="J171" t="s">
        <v>1490</v>
      </c>
    </row>
    <row r="172" spans="1:14">
      <c r="A172" t="s">
        <v>1491</v>
      </c>
      <c r="B172" t="s">
        <v>1492</v>
      </c>
      <c r="D172">
        <v>1010</v>
      </c>
      <c r="E172" t="s">
        <v>1493</v>
      </c>
    </row>
    <row r="173" spans="1:14">
      <c r="A173">
        <v>10410</v>
      </c>
      <c r="B173" t="s">
        <v>1473</v>
      </c>
      <c r="C173">
        <v>3</v>
      </c>
      <c r="D173" s="213">
        <v>35440</v>
      </c>
      <c r="E173" s="213">
        <v>35468</v>
      </c>
      <c r="F173" s="213">
        <v>35445</v>
      </c>
      <c r="G173">
        <v>3</v>
      </c>
      <c r="H173">
        <v>2.4</v>
      </c>
      <c r="I173" t="s">
        <v>1474</v>
      </c>
      <c r="J173" t="s">
        <v>1475</v>
      </c>
      <c r="K173" t="s">
        <v>1476</v>
      </c>
      <c r="L173" t="s">
        <v>1477</v>
      </c>
      <c r="M173" t="s">
        <v>1478</v>
      </c>
      <c r="N173" t="s">
        <v>1402</v>
      </c>
    </row>
    <row r="174" spans="1:14">
      <c r="A174">
        <v>10411</v>
      </c>
      <c r="B174" t="s">
        <v>1473</v>
      </c>
      <c r="C174">
        <v>9</v>
      </c>
      <c r="D174" s="213">
        <v>35440</v>
      </c>
      <c r="E174" s="213">
        <v>35468</v>
      </c>
      <c r="F174" s="213">
        <v>35451</v>
      </c>
      <c r="G174">
        <v>3</v>
      </c>
      <c r="H174">
        <v>23.65</v>
      </c>
      <c r="I174" t="s">
        <v>1474</v>
      </c>
      <c r="J174" t="s">
        <v>1475</v>
      </c>
      <c r="K174" t="s">
        <v>1476</v>
      </c>
      <c r="L174" t="s">
        <v>1477</v>
      </c>
      <c r="M174" t="s">
        <v>1478</v>
      </c>
      <c r="N174" t="s">
        <v>1402</v>
      </c>
    </row>
    <row r="175" spans="1:14">
      <c r="A175">
        <v>10412</v>
      </c>
      <c r="B175" t="s">
        <v>1251</v>
      </c>
      <c r="C175">
        <v>8</v>
      </c>
      <c r="D175" s="213">
        <v>35443</v>
      </c>
      <c r="E175" s="213">
        <v>35471</v>
      </c>
      <c r="F175" s="213">
        <v>35445</v>
      </c>
      <c r="G175">
        <v>2</v>
      </c>
      <c r="H175">
        <v>3.77</v>
      </c>
      <c r="I175" t="s">
        <v>1252</v>
      </c>
      <c r="J175" t="s">
        <v>1253</v>
      </c>
      <c r="K175" t="s">
        <v>1254</v>
      </c>
      <c r="M175">
        <v>90110</v>
      </c>
      <c r="N175" t="s">
        <v>1255</v>
      </c>
    </row>
    <row r="176" spans="1:14">
      <c r="A176">
        <v>10413</v>
      </c>
      <c r="B176" t="s">
        <v>1415</v>
      </c>
      <c r="C176">
        <v>3</v>
      </c>
      <c r="D176" s="213">
        <v>35444</v>
      </c>
      <c r="E176" s="213">
        <v>35472</v>
      </c>
      <c r="F176" s="213">
        <v>35446</v>
      </c>
      <c r="G176">
        <v>2</v>
      </c>
      <c r="H176">
        <v>95.66</v>
      </c>
      <c r="I176" t="s">
        <v>1416</v>
      </c>
      <c r="J176" t="s">
        <v>1417</v>
      </c>
      <c r="K176" t="s">
        <v>1418</v>
      </c>
      <c r="M176">
        <v>31000</v>
      </c>
      <c r="N176" t="s">
        <v>824</v>
      </c>
    </row>
    <row r="177" spans="1:14">
      <c r="A177">
        <v>10414</v>
      </c>
      <c r="B177" t="s">
        <v>1411</v>
      </c>
      <c r="C177">
        <v>2</v>
      </c>
      <c r="D177" s="213">
        <v>35444</v>
      </c>
      <c r="E177" s="213">
        <v>35472</v>
      </c>
      <c r="F177" s="213">
        <v>35447</v>
      </c>
      <c r="G177">
        <v>3</v>
      </c>
      <c r="H177">
        <v>21.48</v>
      </c>
      <c r="I177" t="s">
        <v>1412</v>
      </c>
      <c r="J177" t="s">
        <v>1413</v>
      </c>
      <c r="K177" t="s">
        <v>983</v>
      </c>
      <c r="L177" t="s">
        <v>38</v>
      </c>
      <c r="M177" t="s">
        <v>1414</v>
      </c>
      <c r="N177" t="s">
        <v>831</v>
      </c>
    </row>
    <row r="178" spans="1:14">
      <c r="A178">
        <v>10415</v>
      </c>
      <c r="B178" t="s">
        <v>1463</v>
      </c>
      <c r="C178">
        <v>3</v>
      </c>
      <c r="D178" s="213">
        <v>35445</v>
      </c>
      <c r="E178" s="213">
        <v>35473</v>
      </c>
      <c r="F178" s="213">
        <v>35454</v>
      </c>
      <c r="G178">
        <v>1</v>
      </c>
      <c r="H178">
        <v>0.2</v>
      </c>
      <c r="I178" t="s">
        <v>1464</v>
      </c>
      <c r="J178" t="s">
        <v>1465</v>
      </c>
    </row>
    <row r="179" spans="1:14">
      <c r="A179" t="s">
        <v>1466</v>
      </c>
      <c r="B179" t="s">
        <v>1467</v>
      </c>
      <c r="C179" t="s">
        <v>1353</v>
      </c>
      <c r="D179">
        <v>97827</v>
      </c>
      <c r="E179" t="s">
        <v>1241</v>
      </c>
    </row>
    <row r="180" spans="1:14">
      <c r="A180">
        <v>10416</v>
      </c>
      <c r="B180" t="s">
        <v>1251</v>
      </c>
      <c r="C180">
        <v>8</v>
      </c>
      <c r="D180" s="213">
        <v>35446</v>
      </c>
      <c r="E180" s="213">
        <v>35474</v>
      </c>
      <c r="F180" s="213">
        <v>35457</v>
      </c>
      <c r="G180">
        <v>3</v>
      </c>
      <c r="H180">
        <v>22.72</v>
      </c>
      <c r="I180" t="s">
        <v>1252</v>
      </c>
      <c r="J180" t="s">
        <v>1253</v>
      </c>
      <c r="K180" t="s">
        <v>1254</v>
      </c>
      <c r="M180">
        <v>90110</v>
      </c>
      <c r="N180" t="s">
        <v>1255</v>
      </c>
    </row>
    <row r="181" spans="1:14">
      <c r="A181">
        <v>10417</v>
      </c>
      <c r="B181" t="s">
        <v>1406</v>
      </c>
      <c r="C181">
        <v>4</v>
      </c>
      <c r="D181" s="213">
        <v>35446</v>
      </c>
      <c r="E181" s="213">
        <v>35474</v>
      </c>
      <c r="F181" s="213">
        <v>35458</v>
      </c>
      <c r="G181">
        <v>3</v>
      </c>
      <c r="H181">
        <v>70.290000000000006</v>
      </c>
      <c r="I181" t="s">
        <v>1407</v>
      </c>
      <c r="J181" t="s">
        <v>1408</v>
      </c>
      <c r="K181" t="s">
        <v>1409</v>
      </c>
      <c r="M181">
        <v>1734</v>
      </c>
      <c r="N181" t="s">
        <v>1410</v>
      </c>
    </row>
    <row r="182" spans="1:14">
      <c r="A182">
        <v>10418</v>
      </c>
      <c r="B182" t="s">
        <v>1274</v>
      </c>
      <c r="C182">
        <v>4</v>
      </c>
      <c r="D182" s="213">
        <v>35447</v>
      </c>
      <c r="E182" s="213">
        <v>35475</v>
      </c>
      <c r="F182" s="213">
        <v>35454</v>
      </c>
      <c r="G182">
        <v>1</v>
      </c>
      <c r="H182">
        <v>17.55</v>
      </c>
      <c r="I182" t="s">
        <v>1275</v>
      </c>
      <c r="J182" t="s">
        <v>1276</v>
      </c>
      <c r="K182" t="s">
        <v>1277</v>
      </c>
      <c r="M182">
        <v>1307</v>
      </c>
      <c r="N182" t="s">
        <v>1184</v>
      </c>
    </row>
    <row r="183" spans="1:14">
      <c r="A183">
        <v>10419</v>
      </c>
      <c r="B183" t="s">
        <v>1203</v>
      </c>
      <c r="C183">
        <v>4</v>
      </c>
      <c r="D183" s="213">
        <v>35450</v>
      </c>
      <c r="E183" s="213">
        <v>35478</v>
      </c>
      <c r="F183" s="213">
        <v>35460</v>
      </c>
      <c r="G183">
        <v>2</v>
      </c>
      <c r="H183">
        <v>137.35</v>
      </c>
      <c r="I183" t="s">
        <v>1204</v>
      </c>
      <c r="J183" t="s">
        <v>1205</v>
      </c>
      <c r="K183" t="s">
        <v>1206</v>
      </c>
      <c r="M183">
        <v>1204</v>
      </c>
      <c r="N183" t="s">
        <v>1202</v>
      </c>
    </row>
    <row r="184" spans="1:14">
      <c r="A184">
        <v>10420</v>
      </c>
      <c r="B184" t="s">
        <v>1207</v>
      </c>
      <c r="C184">
        <v>3</v>
      </c>
      <c r="D184" s="213">
        <v>35451</v>
      </c>
      <c r="E184" s="213">
        <v>35479</v>
      </c>
      <c r="F184" s="213">
        <v>35457</v>
      </c>
      <c r="G184">
        <v>1</v>
      </c>
      <c r="H184">
        <v>44.12</v>
      </c>
      <c r="I184" t="s">
        <v>1208</v>
      </c>
      <c r="J184" t="s">
        <v>1209</v>
      </c>
      <c r="K184" t="s">
        <v>1210</v>
      </c>
      <c r="L184" t="s">
        <v>38</v>
      </c>
      <c r="M184" t="s">
        <v>1211</v>
      </c>
      <c r="N184" t="s">
        <v>831</v>
      </c>
    </row>
    <row r="185" spans="1:14">
      <c r="A185">
        <v>10421</v>
      </c>
      <c r="B185" t="s">
        <v>1232</v>
      </c>
      <c r="C185">
        <v>8</v>
      </c>
      <c r="D185" s="213">
        <v>35451</v>
      </c>
      <c r="E185" s="213">
        <v>35493</v>
      </c>
      <c r="F185" s="213">
        <v>35457</v>
      </c>
      <c r="G185">
        <v>1</v>
      </c>
      <c r="H185">
        <v>99.23</v>
      </c>
      <c r="I185" t="s">
        <v>1233</v>
      </c>
      <c r="J185" t="s">
        <v>1234</v>
      </c>
      <c r="K185" t="s">
        <v>1158</v>
      </c>
      <c r="L185" t="s">
        <v>57</v>
      </c>
      <c r="M185" t="s">
        <v>1235</v>
      </c>
      <c r="N185" t="s">
        <v>831</v>
      </c>
    </row>
    <row r="186" spans="1:14">
      <c r="A186">
        <v>10422</v>
      </c>
      <c r="B186" t="s">
        <v>1494</v>
      </c>
      <c r="C186">
        <v>2</v>
      </c>
      <c r="D186" s="213">
        <v>35452</v>
      </c>
      <c r="E186" s="213">
        <v>35480</v>
      </c>
      <c r="F186" s="213">
        <v>35461</v>
      </c>
      <c r="G186">
        <v>1</v>
      </c>
      <c r="H186">
        <v>3.02</v>
      </c>
      <c r="I186" t="s">
        <v>1495</v>
      </c>
      <c r="J186" t="s">
        <v>1496</v>
      </c>
      <c r="K186" t="s">
        <v>1497</v>
      </c>
      <c r="M186">
        <v>10100</v>
      </c>
      <c r="N186" t="s">
        <v>827</v>
      </c>
    </row>
    <row r="187" spans="1:14">
      <c r="A187">
        <v>10423</v>
      </c>
      <c r="B187" t="s">
        <v>1498</v>
      </c>
      <c r="C187">
        <v>6</v>
      </c>
      <c r="D187" s="213">
        <v>35453</v>
      </c>
      <c r="E187" s="213">
        <v>35467</v>
      </c>
      <c r="F187" s="213">
        <v>35485</v>
      </c>
      <c r="G187">
        <v>3</v>
      </c>
      <c r="H187">
        <v>24.5</v>
      </c>
      <c r="I187" t="s">
        <v>1499</v>
      </c>
      <c r="J187" t="s">
        <v>1500</v>
      </c>
      <c r="K187" t="s">
        <v>937</v>
      </c>
      <c r="L187" t="s">
        <v>38</v>
      </c>
      <c r="M187" t="s">
        <v>1501</v>
      </c>
      <c r="N187" t="s">
        <v>831</v>
      </c>
    </row>
    <row r="188" spans="1:14">
      <c r="A188">
        <v>10424</v>
      </c>
      <c r="B188" t="s">
        <v>1396</v>
      </c>
      <c r="C188">
        <v>7</v>
      </c>
      <c r="D188" s="213">
        <v>35453</v>
      </c>
      <c r="E188" s="213">
        <v>35481</v>
      </c>
      <c r="F188" s="213">
        <v>35457</v>
      </c>
      <c r="G188">
        <v>2</v>
      </c>
      <c r="H188">
        <v>370.61</v>
      </c>
      <c r="I188" t="s">
        <v>1397</v>
      </c>
      <c r="J188" t="s">
        <v>1398</v>
      </c>
      <c r="K188" t="s">
        <v>1399</v>
      </c>
      <c r="L188" t="s">
        <v>1400</v>
      </c>
      <c r="M188" t="s">
        <v>1401</v>
      </c>
      <c r="N188" t="s">
        <v>1402</v>
      </c>
    </row>
    <row r="189" spans="1:14">
      <c r="A189">
        <v>10425</v>
      </c>
      <c r="B189" t="s">
        <v>1415</v>
      </c>
      <c r="C189">
        <v>6</v>
      </c>
      <c r="D189" s="213">
        <v>35454</v>
      </c>
      <c r="E189" s="213">
        <v>35482</v>
      </c>
      <c r="F189" s="213">
        <v>35475</v>
      </c>
      <c r="G189">
        <v>2</v>
      </c>
      <c r="H189">
        <v>7.93</v>
      </c>
      <c r="I189" t="s">
        <v>1416</v>
      </c>
      <c r="J189" t="s">
        <v>1417</v>
      </c>
      <c r="K189" t="s">
        <v>1418</v>
      </c>
      <c r="M189">
        <v>31000</v>
      </c>
      <c r="N189" t="s">
        <v>824</v>
      </c>
    </row>
    <row r="190" spans="1:14">
      <c r="A190">
        <v>10426</v>
      </c>
      <c r="B190" t="s">
        <v>1445</v>
      </c>
      <c r="C190">
        <v>4</v>
      </c>
      <c r="D190" s="213">
        <v>35457</v>
      </c>
      <c r="E190" s="213">
        <v>35485</v>
      </c>
      <c r="F190" s="213">
        <v>35467</v>
      </c>
      <c r="G190">
        <v>1</v>
      </c>
      <c r="H190">
        <v>18.690000000000001</v>
      </c>
      <c r="I190" t="s">
        <v>1446</v>
      </c>
      <c r="J190" t="s">
        <v>1447</v>
      </c>
      <c r="K190" t="s">
        <v>1448</v>
      </c>
      <c r="M190">
        <v>8022</v>
      </c>
      <c r="N190" t="s">
        <v>1302</v>
      </c>
    </row>
    <row r="191" spans="1:14">
      <c r="A191">
        <v>10427</v>
      </c>
      <c r="B191" t="s">
        <v>1419</v>
      </c>
      <c r="C191">
        <v>4</v>
      </c>
      <c r="D191" s="213">
        <v>35457</v>
      </c>
      <c r="E191" s="213">
        <v>35485</v>
      </c>
      <c r="F191" s="213">
        <v>35492</v>
      </c>
      <c r="G191">
        <v>2</v>
      </c>
      <c r="H191">
        <v>31.29</v>
      </c>
      <c r="I191" t="s">
        <v>1420</v>
      </c>
      <c r="J191" t="s">
        <v>1421</v>
      </c>
      <c r="K191" t="s">
        <v>1422</v>
      </c>
      <c r="M191">
        <v>5020</v>
      </c>
      <c r="N191" t="s">
        <v>1222</v>
      </c>
    </row>
    <row r="192" spans="1:14">
      <c r="A192">
        <v>10428</v>
      </c>
      <c r="B192" t="s">
        <v>1312</v>
      </c>
      <c r="C192">
        <v>7</v>
      </c>
      <c r="D192" s="213">
        <v>35458</v>
      </c>
      <c r="E192" s="213">
        <v>35486</v>
      </c>
      <c r="F192" s="213">
        <v>35465</v>
      </c>
      <c r="G192">
        <v>1</v>
      </c>
      <c r="H192">
        <v>11.09</v>
      </c>
      <c r="I192" t="s">
        <v>1313</v>
      </c>
      <c r="J192" t="s">
        <v>1314</v>
      </c>
      <c r="K192" t="s">
        <v>1315</v>
      </c>
      <c r="M192">
        <v>42100</v>
      </c>
      <c r="N192" t="s">
        <v>827</v>
      </c>
    </row>
    <row r="193" spans="1:14">
      <c r="A193">
        <v>10429</v>
      </c>
      <c r="B193" t="s">
        <v>1330</v>
      </c>
      <c r="C193">
        <v>3</v>
      </c>
      <c r="D193" s="213">
        <v>35459</v>
      </c>
      <c r="E193" s="213">
        <v>35501</v>
      </c>
      <c r="F193" s="213">
        <v>35468</v>
      </c>
      <c r="G193">
        <v>2</v>
      </c>
      <c r="H193">
        <v>56.63</v>
      </c>
      <c r="I193" t="s">
        <v>1331</v>
      </c>
      <c r="J193" t="s">
        <v>1332</v>
      </c>
      <c r="K193" t="s">
        <v>1333</v>
      </c>
      <c r="L193" t="s">
        <v>1334</v>
      </c>
      <c r="N193" t="s">
        <v>1335</v>
      </c>
    </row>
    <row r="194" spans="1:14">
      <c r="A194">
        <v>10430</v>
      </c>
      <c r="B194" t="s">
        <v>1218</v>
      </c>
      <c r="C194">
        <v>4</v>
      </c>
      <c r="D194" s="213">
        <v>35460</v>
      </c>
      <c r="E194" s="213">
        <v>35474</v>
      </c>
      <c r="F194" s="213">
        <v>35464</v>
      </c>
      <c r="G194">
        <v>1</v>
      </c>
      <c r="H194">
        <v>458.78</v>
      </c>
      <c r="I194" t="s">
        <v>1219</v>
      </c>
      <c r="J194" t="s">
        <v>1220</v>
      </c>
      <c r="K194" t="s">
        <v>1221</v>
      </c>
      <c r="M194">
        <v>8010</v>
      </c>
      <c r="N194" t="s">
        <v>1222</v>
      </c>
    </row>
    <row r="195" spans="1:14">
      <c r="A195">
        <v>10431</v>
      </c>
      <c r="B195" t="s">
        <v>1473</v>
      </c>
      <c r="C195">
        <v>4</v>
      </c>
      <c r="D195" s="213">
        <v>35460</v>
      </c>
      <c r="E195" s="213">
        <v>35474</v>
      </c>
      <c r="F195" s="213">
        <v>35468</v>
      </c>
      <c r="G195">
        <v>2</v>
      </c>
      <c r="H195">
        <v>44.17</v>
      </c>
      <c r="I195" t="s">
        <v>1474</v>
      </c>
      <c r="J195" t="s">
        <v>1475</v>
      </c>
      <c r="K195" t="s">
        <v>1476</v>
      </c>
      <c r="L195" t="s">
        <v>1477</v>
      </c>
      <c r="M195" t="s">
        <v>1478</v>
      </c>
      <c r="N195" t="s">
        <v>1402</v>
      </c>
    </row>
    <row r="196" spans="1:14">
      <c r="A196">
        <v>10432</v>
      </c>
      <c r="B196" t="s">
        <v>1269</v>
      </c>
      <c r="C196">
        <v>3</v>
      </c>
      <c r="D196" s="213">
        <v>35461</v>
      </c>
      <c r="E196" s="213">
        <v>35475</v>
      </c>
      <c r="F196" s="213">
        <v>35468</v>
      </c>
      <c r="G196">
        <v>2</v>
      </c>
      <c r="H196">
        <v>4.34</v>
      </c>
      <c r="I196" t="s">
        <v>1270</v>
      </c>
      <c r="J196" t="s">
        <v>1271</v>
      </c>
      <c r="K196" t="s">
        <v>1272</v>
      </c>
      <c r="L196" t="s">
        <v>1273</v>
      </c>
      <c r="M196">
        <v>82520</v>
      </c>
      <c r="N196" t="s">
        <v>1241</v>
      </c>
    </row>
    <row r="197" spans="1:14">
      <c r="A197">
        <v>10433</v>
      </c>
      <c r="B197" t="s">
        <v>1403</v>
      </c>
      <c r="C197">
        <v>3</v>
      </c>
      <c r="D197" s="213">
        <v>35464</v>
      </c>
      <c r="E197" s="213">
        <v>35492</v>
      </c>
      <c r="F197" s="213">
        <v>35493</v>
      </c>
      <c r="G197">
        <v>3</v>
      </c>
      <c r="H197">
        <v>73.83</v>
      </c>
      <c r="I197" t="s">
        <v>1404</v>
      </c>
      <c r="J197" t="s">
        <v>1405</v>
      </c>
      <c r="K197" t="s">
        <v>1390</v>
      </c>
      <c r="M197">
        <v>1756</v>
      </c>
      <c r="N197" t="s">
        <v>1391</v>
      </c>
    </row>
    <row r="198" spans="1:14">
      <c r="A198">
        <v>10434</v>
      </c>
      <c r="B198" t="s">
        <v>1242</v>
      </c>
      <c r="C198">
        <v>3</v>
      </c>
      <c r="D198" s="213">
        <v>35464</v>
      </c>
      <c r="E198" s="213">
        <v>35492</v>
      </c>
      <c r="F198" s="213">
        <v>35474</v>
      </c>
      <c r="G198">
        <v>2</v>
      </c>
      <c r="H198">
        <v>17.920000000000002</v>
      </c>
      <c r="I198" t="s">
        <v>1243</v>
      </c>
      <c r="J198" t="s">
        <v>1244</v>
      </c>
      <c r="K198" t="s">
        <v>1245</v>
      </c>
      <c r="M198" t="s">
        <v>1246</v>
      </c>
      <c r="N198" t="s">
        <v>829</v>
      </c>
    </row>
    <row r="199" spans="1:14">
      <c r="A199">
        <v>10435</v>
      </c>
      <c r="B199" t="s">
        <v>1502</v>
      </c>
      <c r="C199">
        <v>8</v>
      </c>
      <c r="D199" s="213">
        <v>35465</v>
      </c>
      <c r="E199" s="213">
        <v>35507</v>
      </c>
      <c r="F199" s="213">
        <v>35468</v>
      </c>
      <c r="G199">
        <v>2</v>
      </c>
      <c r="H199">
        <v>9.2100000000000009</v>
      </c>
      <c r="I199" t="s">
        <v>1503</v>
      </c>
      <c r="J199" t="s">
        <v>1504</v>
      </c>
    </row>
    <row r="200" spans="1:14">
      <c r="A200" t="s">
        <v>1505</v>
      </c>
      <c r="B200" t="s">
        <v>1319</v>
      </c>
      <c r="D200" t="s">
        <v>1506</v>
      </c>
      <c r="E200" t="s">
        <v>1321</v>
      </c>
    </row>
    <row r="201" spans="1:14">
      <c r="A201">
        <v>10436</v>
      </c>
      <c r="B201" t="s">
        <v>1247</v>
      </c>
      <c r="C201">
        <v>3</v>
      </c>
      <c r="D201" s="213">
        <v>35466</v>
      </c>
      <c r="E201" s="213">
        <v>35494</v>
      </c>
      <c r="F201" s="213">
        <v>35472</v>
      </c>
      <c r="G201">
        <v>2</v>
      </c>
      <c r="H201">
        <v>156.66</v>
      </c>
      <c r="I201" t="s">
        <v>1248</v>
      </c>
      <c r="J201" t="s">
        <v>1249</v>
      </c>
      <c r="K201" t="s">
        <v>1250</v>
      </c>
      <c r="M201">
        <v>67000</v>
      </c>
      <c r="N201" t="s">
        <v>824</v>
      </c>
    </row>
    <row r="202" spans="1:14">
      <c r="A202">
        <v>10437</v>
      </c>
      <c r="B202" t="s">
        <v>1251</v>
      </c>
      <c r="C202">
        <v>8</v>
      </c>
      <c r="D202" s="213">
        <v>35466</v>
      </c>
      <c r="E202" s="213">
        <v>35494</v>
      </c>
      <c r="F202" s="213">
        <v>35473</v>
      </c>
      <c r="G202">
        <v>1</v>
      </c>
      <c r="H202">
        <v>19.97</v>
      </c>
      <c r="I202" t="s">
        <v>1252</v>
      </c>
      <c r="J202" t="s">
        <v>1253</v>
      </c>
      <c r="K202" t="s">
        <v>1254</v>
      </c>
      <c r="M202">
        <v>90110</v>
      </c>
      <c r="N202" t="s">
        <v>1255</v>
      </c>
    </row>
    <row r="203" spans="1:14">
      <c r="A203">
        <v>10438</v>
      </c>
      <c r="B203" t="s">
        <v>1180</v>
      </c>
      <c r="C203">
        <v>3</v>
      </c>
      <c r="D203" s="213">
        <v>35467</v>
      </c>
      <c r="E203" s="213">
        <v>35495</v>
      </c>
      <c r="F203" s="213">
        <v>35475</v>
      </c>
      <c r="G203">
        <v>2</v>
      </c>
      <c r="H203">
        <v>8.24</v>
      </c>
      <c r="I203" t="s">
        <v>1181</v>
      </c>
      <c r="J203" t="s">
        <v>1182</v>
      </c>
      <c r="K203" t="s">
        <v>1183</v>
      </c>
      <c r="M203">
        <v>44087</v>
      </c>
      <c r="N203" t="s">
        <v>1184</v>
      </c>
    </row>
    <row r="204" spans="1:14">
      <c r="A204">
        <v>10439</v>
      </c>
      <c r="B204" t="s">
        <v>1396</v>
      </c>
      <c r="C204">
        <v>6</v>
      </c>
      <c r="D204" s="213">
        <v>35468</v>
      </c>
      <c r="E204" s="213">
        <v>35496</v>
      </c>
      <c r="F204" s="213">
        <v>35471</v>
      </c>
      <c r="G204">
        <v>3</v>
      </c>
      <c r="H204">
        <v>4.07</v>
      </c>
      <c r="I204" t="s">
        <v>1397</v>
      </c>
      <c r="J204" t="s">
        <v>1398</v>
      </c>
      <c r="K204" t="s">
        <v>1399</v>
      </c>
      <c r="L204" t="s">
        <v>1400</v>
      </c>
      <c r="M204" t="s">
        <v>1401</v>
      </c>
      <c r="N204" t="s">
        <v>1402</v>
      </c>
    </row>
    <row r="205" spans="1:14">
      <c r="A205">
        <v>10440</v>
      </c>
      <c r="B205" t="s">
        <v>1379</v>
      </c>
      <c r="C205">
        <v>4</v>
      </c>
      <c r="D205" s="213">
        <v>35471</v>
      </c>
      <c r="E205" s="213">
        <v>35499</v>
      </c>
      <c r="F205" s="213">
        <v>35489</v>
      </c>
      <c r="G205">
        <v>2</v>
      </c>
      <c r="H205">
        <v>86.53</v>
      </c>
      <c r="I205" t="s">
        <v>1380</v>
      </c>
      <c r="J205" t="s">
        <v>1381</v>
      </c>
      <c r="K205" t="s">
        <v>1382</v>
      </c>
      <c r="L205" t="s">
        <v>1383</v>
      </c>
      <c r="M205">
        <v>83720</v>
      </c>
      <c r="N205" t="s">
        <v>1241</v>
      </c>
    </row>
    <row r="206" spans="1:14">
      <c r="A206">
        <v>10441</v>
      </c>
      <c r="B206" t="s">
        <v>1344</v>
      </c>
      <c r="C206">
        <v>3</v>
      </c>
      <c r="D206" s="213">
        <v>35471</v>
      </c>
      <c r="E206" s="213">
        <v>35513</v>
      </c>
      <c r="F206" s="213">
        <v>35503</v>
      </c>
      <c r="G206">
        <v>2</v>
      </c>
      <c r="H206">
        <v>73.02</v>
      </c>
      <c r="I206" t="s">
        <v>1345</v>
      </c>
      <c r="J206" t="s">
        <v>1346</v>
      </c>
      <c r="K206" t="s">
        <v>1347</v>
      </c>
      <c r="L206" t="s">
        <v>1348</v>
      </c>
      <c r="M206">
        <v>99508</v>
      </c>
      <c r="N206" t="s">
        <v>1241</v>
      </c>
    </row>
    <row r="207" spans="1:14">
      <c r="A207">
        <v>10442</v>
      </c>
      <c r="B207" t="s">
        <v>1218</v>
      </c>
      <c r="C207">
        <v>3</v>
      </c>
      <c r="D207" s="213">
        <v>35472</v>
      </c>
      <c r="E207" s="213">
        <v>35500</v>
      </c>
      <c r="F207" s="213">
        <v>35479</v>
      </c>
      <c r="G207">
        <v>2</v>
      </c>
      <c r="H207">
        <v>47.94</v>
      </c>
      <c r="I207" t="s">
        <v>1219</v>
      </c>
      <c r="J207" t="s">
        <v>1220</v>
      </c>
      <c r="K207" t="s">
        <v>1221</v>
      </c>
      <c r="M207">
        <v>8010</v>
      </c>
      <c r="N207" t="s">
        <v>1222</v>
      </c>
    </row>
    <row r="208" spans="1:14">
      <c r="A208">
        <v>10443</v>
      </c>
      <c r="B208" t="s">
        <v>1312</v>
      </c>
      <c r="C208">
        <v>8</v>
      </c>
      <c r="D208" s="213">
        <v>35473</v>
      </c>
      <c r="E208" s="213">
        <v>35501</v>
      </c>
      <c r="F208" s="213">
        <v>35475</v>
      </c>
      <c r="G208">
        <v>1</v>
      </c>
      <c r="H208">
        <v>13.95</v>
      </c>
      <c r="I208" t="s">
        <v>1313</v>
      </c>
      <c r="J208" t="s">
        <v>1314</v>
      </c>
      <c r="K208" t="s">
        <v>1315</v>
      </c>
      <c r="M208">
        <v>42100</v>
      </c>
      <c r="N208" t="s">
        <v>827</v>
      </c>
    </row>
    <row r="209" spans="1:14">
      <c r="A209">
        <v>10444</v>
      </c>
      <c r="B209" t="s">
        <v>1289</v>
      </c>
      <c r="C209">
        <v>3</v>
      </c>
      <c r="D209" s="213">
        <v>35473</v>
      </c>
      <c r="E209" s="213">
        <v>35501</v>
      </c>
      <c r="F209" s="213">
        <v>35482</v>
      </c>
      <c r="G209">
        <v>3</v>
      </c>
      <c r="H209">
        <v>3.5</v>
      </c>
      <c r="I209" t="s">
        <v>1290</v>
      </c>
      <c r="J209" t="s">
        <v>1291</v>
      </c>
      <c r="K209" t="s">
        <v>1292</v>
      </c>
      <c r="M209" t="s">
        <v>1293</v>
      </c>
      <c r="N209" t="s">
        <v>829</v>
      </c>
    </row>
    <row r="210" spans="1:14">
      <c r="A210">
        <v>10445</v>
      </c>
      <c r="B210" t="s">
        <v>1289</v>
      </c>
      <c r="C210">
        <v>3</v>
      </c>
      <c r="D210" s="213">
        <v>35474</v>
      </c>
      <c r="E210" s="213">
        <v>35502</v>
      </c>
      <c r="F210" s="213">
        <v>35481</v>
      </c>
      <c r="G210">
        <v>1</v>
      </c>
      <c r="H210">
        <v>9.3000000000000007</v>
      </c>
      <c r="I210" t="s">
        <v>1290</v>
      </c>
      <c r="J210" t="s">
        <v>1291</v>
      </c>
      <c r="K210" t="s">
        <v>1292</v>
      </c>
      <c r="M210" t="s">
        <v>1293</v>
      </c>
      <c r="N210" t="s">
        <v>829</v>
      </c>
    </row>
    <row r="211" spans="1:14">
      <c r="A211">
        <v>10446</v>
      </c>
      <c r="B211" t="s">
        <v>1180</v>
      </c>
      <c r="C211">
        <v>6</v>
      </c>
      <c r="D211" s="213">
        <v>35475</v>
      </c>
      <c r="E211" s="213">
        <v>35503</v>
      </c>
      <c r="F211" s="213">
        <v>35480</v>
      </c>
      <c r="G211">
        <v>1</v>
      </c>
      <c r="H211">
        <v>14.68</v>
      </c>
      <c r="I211" t="s">
        <v>1181</v>
      </c>
      <c r="J211" t="s">
        <v>1182</v>
      </c>
      <c r="K211" t="s">
        <v>1183</v>
      </c>
      <c r="M211">
        <v>44087</v>
      </c>
      <c r="N211" t="s">
        <v>1184</v>
      </c>
    </row>
    <row r="212" spans="1:14">
      <c r="A212">
        <v>10447</v>
      </c>
      <c r="B212" t="s">
        <v>1308</v>
      </c>
      <c r="C212">
        <v>4</v>
      </c>
      <c r="D212" s="213">
        <v>35475</v>
      </c>
      <c r="E212" s="213">
        <v>35503</v>
      </c>
      <c r="F212" s="213">
        <v>35496</v>
      </c>
      <c r="G212">
        <v>2</v>
      </c>
      <c r="H212">
        <v>68.66</v>
      </c>
      <c r="I212" t="s">
        <v>1309</v>
      </c>
      <c r="J212" t="s">
        <v>1310</v>
      </c>
      <c r="K212" t="s">
        <v>1158</v>
      </c>
      <c r="L212" t="s">
        <v>57</v>
      </c>
      <c r="M212" t="s">
        <v>1311</v>
      </c>
      <c r="N212" t="s">
        <v>831</v>
      </c>
    </row>
    <row r="213" spans="1:14">
      <c r="A213">
        <v>10448</v>
      </c>
      <c r="B213" t="s">
        <v>1507</v>
      </c>
      <c r="C213">
        <v>4</v>
      </c>
      <c r="D213" s="213">
        <v>35478</v>
      </c>
      <c r="E213" s="213">
        <v>35506</v>
      </c>
      <c r="F213" s="213">
        <v>35485</v>
      </c>
      <c r="G213">
        <v>2</v>
      </c>
      <c r="H213">
        <v>38.82</v>
      </c>
      <c r="I213" t="s">
        <v>1508</v>
      </c>
      <c r="J213" t="s">
        <v>1509</v>
      </c>
      <c r="K213" t="s">
        <v>1492</v>
      </c>
      <c r="M213">
        <v>1010</v>
      </c>
      <c r="N213" t="s">
        <v>1493</v>
      </c>
    </row>
    <row r="214" spans="1:14">
      <c r="A214">
        <v>10449</v>
      </c>
      <c r="B214" t="s">
        <v>1247</v>
      </c>
      <c r="C214">
        <v>3</v>
      </c>
      <c r="D214" s="213">
        <v>35479</v>
      </c>
      <c r="E214" s="213">
        <v>35507</v>
      </c>
      <c r="F214" s="213">
        <v>35488</v>
      </c>
      <c r="G214">
        <v>2</v>
      </c>
      <c r="H214">
        <v>53.3</v>
      </c>
      <c r="I214" t="s">
        <v>1248</v>
      </c>
      <c r="J214" t="s">
        <v>1249</v>
      </c>
      <c r="K214" t="s">
        <v>1250</v>
      </c>
      <c r="M214">
        <v>67000</v>
      </c>
      <c r="N214" t="s">
        <v>824</v>
      </c>
    </row>
    <row r="215" spans="1:14">
      <c r="A215">
        <v>10450</v>
      </c>
      <c r="B215" t="s">
        <v>1189</v>
      </c>
      <c r="C215">
        <v>8</v>
      </c>
      <c r="D215" s="213">
        <v>35480</v>
      </c>
      <c r="E215" s="213">
        <v>35508</v>
      </c>
      <c r="F215" s="213">
        <v>35500</v>
      </c>
      <c r="G215">
        <v>2</v>
      </c>
      <c r="H215">
        <v>7.23</v>
      </c>
      <c r="I215" t="s">
        <v>1190</v>
      </c>
      <c r="J215" t="s">
        <v>1191</v>
      </c>
      <c r="K215" t="s">
        <v>1192</v>
      </c>
      <c r="M215">
        <v>69004</v>
      </c>
      <c r="N215" t="s">
        <v>824</v>
      </c>
    </row>
    <row r="216" spans="1:14">
      <c r="A216">
        <v>10451</v>
      </c>
      <c r="B216" t="s">
        <v>1274</v>
      </c>
      <c r="C216">
        <v>4</v>
      </c>
      <c r="D216" s="213">
        <v>35480</v>
      </c>
      <c r="E216" s="213">
        <v>35494</v>
      </c>
      <c r="F216" s="213">
        <v>35501</v>
      </c>
      <c r="G216">
        <v>3</v>
      </c>
      <c r="H216">
        <v>189.09</v>
      </c>
      <c r="I216" t="s">
        <v>1275</v>
      </c>
      <c r="J216" t="s">
        <v>1276</v>
      </c>
      <c r="K216" t="s">
        <v>1277</v>
      </c>
      <c r="M216">
        <v>1307</v>
      </c>
      <c r="N216" t="s">
        <v>1184</v>
      </c>
    </row>
    <row r="217" spans="1:14">
      <c r="A217">
        <v>10452</v>
      </c>
      <c r="B217" t="s">
        <v>1379</v>
      </c>
      <c r="C217">
        <v>8</v>
      </c>
      <c r="D217" s="213">
        <v>35481</v>
      </c>
      <c r="E217" s="213">
        <v>35509</v>
      </c>
      <c r="F217" s="213">
        <v>35487</v>
      </c>
      <c r="G217">
        <v>1</v>
      </c>
      <c r="H217">
        <v>140.26</v>
      </c>
      <c r="I217" t="s">
        <v>1380</v>
      </c>
      <c r="J217" t="s">
        <v>1381</v>
      </c>
      <c r="K217" t="s">
        <v>1382</v>
      </c>
      <c r="L217" t="s">
        <v>1383</v>
      </c>
      <c r="M217">
        <v>83720</v>
      </c>
      <c r="N217" t="s">
        <v>1241</v>
      </c>
    </row>
    <row r="218" spans="1:14">
      <c r="A218">
        <v>10453</v>
      </c>
      <c r="B218" t="s">
        <v>1423</v>
      </c>
      <c r="C218">
        <v>1</v>
      </c>
      <c r="D218" s="213">
        <v>35482</v>
      </c>
      <c r="E218" s="213">
        <v>35510</v>
      </c>
      <c r="F218" s="213">
        <v>35487</v>
      </c>
      <c r="G218">
        <v>2</v>
      </c>
      <c r="H218">
        <v>25.36</v>
      </c>
      <c r="I218" t="s">
        <v>1424</v>
      </c>
      <c r="J218" t="s">
        <v>1425</v>
      </c>
    </row>
    <row r="219" spans="1:14">
      <c r="A219" t="s">
        <v>1426</v>
      </c>
      <c r="B219" t="s">
        <v>1427</v>
      </c>
      <c r="C219" t="s">
        <v>1428</v>
      </c>
      <c r="D219" t="s">
        <v>1429</v>
      </c>
      <c r="E219" t="s">
        <v>1321</v>
      </c>
    </row>
    <row r="220" spans="1:14">
      <c r="A220">
        <v>10454</v>
      </c>
      <c r="B220" t="s">
        <v>1415</v>
      </c>
      <c r="C220">
        <v>4</v>
      </c>
      <c r="D220" s="213">
        <v>35482</v>
      </c>
      <c r="E220" s="213">
        <v>35510</v>
      </c>
      <c r="F220" s="213">
        <v>35486</v>
      </c>
      <c r="G220">
        <v>3</v>
      </c>
      <c r="H220">
        <v>2.74</v>
      </c>
      <c r="I220" t="s">
        <v>1416</v>
      </c>
      <c r="J220" t="s">
        <v>1417</v>
      </c>
      <c r="K220" t="s">
        <v>1418</v>
      </c>
      <c r="M220">
        <v>31000</v>
      </c>
      <c r="N220" t="s">
        <v>824</v>
      </c>
    </row>
    <row r="221" spans="1:14">
      <c r="A221">
        <v>10455</v>
      </c>
      <c r="B221" t="s">
        <v>1251</v>
      </c>
      <c r="C221">
        <v>8</v>
      </c>
      <c r="D221" s="213">
        <v>35485</v>
      </c>
      <c r="E221" s="213">
        <v>35527</v>
      </c>
      <c r="F221" s="213">
        <v>35492</v>
      </c>
      <c r="G221">
        <v>2</v>
      </c>
      <c r="H221">
        <v>180.45</v>
      </c>
      <c r="I221" t="s">
        <v>1252</v>
      </c>
      <c r="J221" t="s">
        <v>1253</v>
      </c>
      <c r="K221" t="s">
        <v>1254</v>
      </c>
      <c r="M221">
        <v>90110</v>
      </c>
      <c r="N221" t="s">
        <v>1255</v>
      </c>
    </row>
    <row r="222" spans="1:14">
      <c r="A222">
        <v>10456</v>
      </c>
      <c r="B222" t="s">
        <v>1375</v>
      </c>
      <c r="C222">
        <v>8</v>
      </c>
      <c r="D222" s="213">
        <v>35486</v>
      </c>
      <c r="E222" s="213">
        <v>35528</v>
      </c>
      <c r="F222" s="213">
        <v>35489</v>
      </c>
      <c r="G222">
        <v>2</v>
      </c>
      <c r="H222">
        <v>8.1199999999999992</v>
      </c>
      <c r="I222" t="s">
        <v>1376</v>
      </c>
      <c r="J222" t="s">
        <v>1377</v>
      </c>
      <c r="K222" t="s">
        <v>1378</v>
      </c>
      <c r="M222">
        <v>14776</v>
      </c>
      <c r="N222" t="s">
        <v>1184</v>
      </c>
    </row>
    <row r="223" spans="1:14">
      <c r="A223">
        <v>10457</v>
      </c>
      <c r="B223" t="s">
        <v>1375</v>
      </c>
      <c r="C223">
        <v>2</v>
      </c>
      <c r="D223" s="213">
        <v>35486</v>
      </c>
      <c r="E223" s="213">
        <v>35514</v>
      </c>
      <c r="F223" s="213">
        <v>35492</v>
      </c>
      <c r="G223">
        <v>1</v>
      </c>
      <c r="H223">
        <v>11.57</v>
      </c>
      <c r="I223" t="s">
        <v>1376</v>
      </c>
      <c r="J223" t="s">
        <v>1377</v>
      </c>
      <c r="K223" t="s">
        <v>1378</v>
      </c>
      <c r="M223">
        <v>14776</v>
      </c>
      <c r="N223" t="s">
        <v>1184</v>
      </c>
    </row>
    <row r="224" spans="1:14">
      <c r="A224">
        <v>10458</v>
      </c>
      <c r="B224" t="s">
        <v>1193</v>
      </c>
      <c r="C224">
        <v>7</v>
      </c>
      <c r="D224" s="213">
        <v>35487</v>
      </c>
      <c r="E224" s="213">
        <v>35515</v>
      </c>
      <c r="F224" s="213">
        <v>35493</v>
      </c>
      <c r="G224">
        <v>3</v>
      </c>
      <c r="H224">
        <v>147.06</v>
      </c>
      <c r="I224" t="s">
        <v>1194</v>
      </c>
      <c r="J224" t="s">
        <v>1195</v>
      </c>
      <c r="K224" t="s">
        <v>1196</v>
      </c>
      <c r="M224" t="s">
        <v>1197</v>
      </c>
      <c r="N224" t="s">
        <v>833</v>
      </c>
    </row>
    <row r="225" spans="1:14">
      <c r="A225">
        <v>10459</v>
      </c>
      <c r="B225" t="s">
        <v>1189</v>
      </c>
      <c r="C225">
        <v>4</v>
      </c>
      <c r="D225" s="213">
        <v>35488</v>
      </c>
      <c r="E225" s="213">
        <v>35516</v>
      </c>
      <c r="F225" s="213">
        <v>35489</v>
      </c>
      <c r="G225">
        <v>2</v>
      </c>
      <c r="H225">
        <v>25.09</v>
      </c>
      <c r="I225" t="s">
        <v>1190</v>
      </c>
      <c r="J225" t="s">
        <v>1191</v>
      </c>
      <c r="K225" t="s">
        <v>1192</v>
      </c>
      <c r="M225">
        <v>69004</v>
      </c>
      <c r="N225" t="s">
        <v>824</v>
      </c>
    </row>
    <row r="226" spans="1:14">
      <c r="A226">
        <v>10460</v>
      </c>
      <c r="B226" t="s">
        <v>1242</v>
      </c>
      <c r="C226">
        <v>8</v>
      </c>
      <c r="D226" s="213">
        <v>35489</v>
      </c>
      <c r="E226" s="213">
        <v>35517</v>
      </c>
      <c r="F226" s="213">
        <v>35492</v>
      </c>
      <c r="G226">
        <v>1</v>
      </c>
      <c r="H226">
        <v>16.27</v>
      </c>
      <c r="I226" t="s">
        <v>1243</v>
      </c>
      <c r="J226" t="s">
        <v>1244</v>
      </c>
      <c r="K226" t="s">
        <v>1245</v>
      </c>
      <c r="M226" t="s">
        <v>1246</v>
      </c>
      <c r="N226" t="s">
        <v>829</v>
      </c>
    </row>
    <row r="227" spans="1:14">
      <c r="A227">
        <v>10461</v>
      </c>
      <c r="B227" t="s">
        <v>1303</v>
      </c>
      <c r="C227">
        <v>1</v>
      </c>
      <c r="D227" s="213">
        <v>35489</v>
      </c>
      <c r="E227" s="213">
        <v>35517</v>
      </c>
      <c r="F227" s="213">
        <v>35494</v>
      </c>
      <c r="G227">
        <v>3</v>
      </c>
      <c r="H227">
        <v>148.61000000000001</v>
      </c>
      <c r="I227" t="s">
        <v>1304</v>
      </c>
      <c r="J227" t="s">
        <v>1305</v>
      </c>
      <c r="K227" t="s">
        <v>1306</v>
      </c>
      <c r="L227" t="s">
        <v>1307</v>
      </c>
      <c r="M227">
        <v>3508</v>
      </c>
      <c r="N227" t="s">
        <v>1217</v>
      </c>
    </row>
    <row r="228" spans="1:14">
      <c r="A228">
        <v>10462</v>
      </c>
      <c r="B228" t="s">
        <v>1502</v>
      </c>
      <c r="C228">
        <v>2</v>
      </c>
      <c r="D228" s="213">
        <v>35492</v>
      </c>
      <c r="E228" s="213">
        <v>35520</v>
      </c>
      <c r="F228" s="213">
        <v>35507</v>
      </c>
      <c r="G228">
        <v>1</v>
      </c>
      <c r="H228">
        <v>6.17</v>
      </c>
      <c r="I228" t="s">
        <v>1503</v>
      </c>
      <c r="J228" t="s">
        <v>1504</v>
      </c>
    </row>
    <row r="229" spans="1:14">
      <c r="A229" t="s">
        <v>1505</v>
      </c>
      <c r="B229" t="s">
        <v>1319</v>
      </c>
      <c r="D229" t="s">
        <v>1506</v>
      </c>
      <c r="E229" t="s">
        <v>1321</v>
      </c>
    </row>
    <row r="230" spans="1:14">
      <c r="A230">
        <v>10463</v>
      </c>
      <c r="B230" t="s">
        <v>1193</v>
      </c>
      <c r="C230">
        <v>5</v>
      </c>
      <c r="D230" s="213">
        <v>35493</v>
      </c>
      <c r="E230" s="213">
        <v>35521</v>
      </c>
      <c r="F230" s="213">
        <v>35495</v>
      </c>
      <c r="G230">
        <v>3</v>
      </c>
      <c r="H230">
        <v>14.78</v>
      </c>
      <c r="I230" t="s">
        <v>1194</v>
      </c>
      <c r="J230" t="s">
        <v>1195</v>
      </c>
      <c r="K230" t="s">
        <v>1196</v>
      </c>
      <c r="M230" t="s">
        <v>1197</v>
      </c>
      <c r="N230" t="s">
        <v>833</v>
      </c>
    </row>
    <row r="231" spans="1:14">
      <c r="A231">
        <v>10464</v>
      </c>
      <c r="B231" t="s">
        <v>1387</v>
      </c>
      <c r="C231">
        <v>4</v>
      </c>
      <c r="D231" s="213">
        <v>35493</v>
      </c>
      <c r="E231" s="213">
        <v>35521</v>
      </c>
      <c r="F231" s="213">
        <v>35503</v>
      </c>
      <c r="G231">
        <v>2</v>
      </c>
      <c r="H231">
        <v>89</v>
      </c>
      <c r="I231" t="s">
        <v>1388</v>
      </c>
      <c r="J231" t="s">
        <v>1389</v>
      </c>
      <c r="K231" t="s">
        <v>1390</v>
      </c>
      <c r="M231">
        <v>1675</v>
      </c>
      <c r="N231" t="s">
        <v>1391</v>
      </c>
    </row>
    <row r="232" spans="1:14">
      <c r="A232">
        <v>10465</v>
      </c>
      <c r="B232" t="s">
        <v>1449</v>
      </c>
      <c r="C232">
        <v>1</v>
      </c>
      <c r="D232" s="213">
        <v>35494</v>
      </c>
      <c r="E232" s="213">
        <v>35522</v>
      </c>
      <c r="F232" s="213">
        <v>35503</v>
      </c>
      <c r="G232">
        <v>3</v>
      </c>
      <c r="H232">
        <v>145.04</v>
      </c>
      <c r="I232" t="s">
        <v>1450</v>
      </c>
      <c r="J232" t="s">
        <v>1451</v>
      </c>
      <c r="K232" t="s">
        <v>1452</v>
      </c>
      <c r="M232">
        <v>8200</v>
      </c>
      <c r="N232" t="s">
        <v>1410</v>
      </c>
    </row>
    <row r="233" spans="1:14">
      <c r="A233">
        <v>10466</v>
      </c>
      <c r="B233" t="s">
        <v>1322</v>
      </c>
      <c r="C233">
        <v>4</v>
      </c>
      <c r="D233" s="213">
        <v>35495</v>
      </c>
      <c r="E233" s="213">
        <v>35523</v>
      </c>
      <c r="F233" s="213">
        <v>35502</v>
      </c>
      <c r="G233">
        <v>1</v>
      </c>
      <c r="H233">
        <v>11.93</v>
      </c>
      <c r="I233" t="s">
        <v>1323</v>
      </c>
      <c r="J233" t="s">
        <v>1324</v>
      </c>
      <c r="K233" t="s">
        <v>983</v>
      </c>
      <c r="L233" t="s">
        <v>38</v>
      </c>
      <c r="M233" t="s">
        <v>1325</v>
      </c>
      <c r="N233" t="s">
        <v>831</v>
      </c>
    </row>
    <row r="234" spans="1:14">
      <c r="A234">
        <v>10467</v>
      </c>
      <c r="B234" t="s">
        <v>1278</v>
      </c>
      <c r="C234">
        <v>8</v>
      </c>
      <c r="D234" s="213">
        <v>35495</v>
      </c>
      <c r="E234" s="213">
        <v>35523</v>
      </c>
      <c r="F234" s="213">
        <v>35500</v>
      </c>
      <c r="G234">
        <v>2</v>
      </c>
      <c r="H234">
        <v>4.93</v>
      </c>
      <c r="I234" t="s">
        <v>1279</v>
      </c>
      <c r="J234" t="s">
        <v>1280</v>
      </c>
      <c r="K234" t="s">
        <v>1281</v>
      </c>
      <c r="M234">
        <v>24100</v>
      </c>
      <c r="N234" t="s">
        <v>827</v>
      </c>
    </row>
    <row r="235" spans="1:14">
      <c r="A235">
        <v>10468</v>
      </c>
      <c r="B235" t="s">
        <v>1375</v>
      </c>
      <c r="C235">
        <v>3</v>
      </c>
      <c r="D235" s="213">
        <v>35496</v>
      </c>
      <c r="E235" s="213">
        <v>35524</v>
      </c>
      <c r="F235" s="213">
        <v>35501</v>
      </c>
      <c r="G235">
        <v>3</v>
      </c>
      <c r="H235">
        <v>44.12</v>
      </c>
      <c r="I235" t="s">
        <v>1376</v>
      </c>
      <c r="J235" t="s">
        <v>1377</v>
      </c>
      <c r="K235" t="s">
        <v>1378</v>
      </c>
      <c r="M235">
        <v>14776</v>
      </c>
      <c r="N235" t="s">
        <v>1184</v>
      </c>
    </row>
    <row r="236" spans="1:14">
      <c r="A236">
        <v>10469</v>
      </c>
      <c r="B236" t="s">
        <v>1264</v>
      </c>
      <c r="C236">
        <v>1</v>
      </c>
      <c r="D236" s="213">
        <v>35499</v>
      </c>
      <c r="E236" s="213">
        <v>35527</v>
      </c>
      <c r="F236" s="213">
        <v>35503</v>
      </c>
      <c r="G236">
        <v>1</v>
      </c>
      <c r="H236">
        <v>60.18</v>
      </c>
      <c r="I236" t="s">
        <v>1265</v>
      </c>
      <c r="J236" t="s">
        <v>1266</v>
      </c>
      <c r="K236" t="s">
        <v>1267</v>
      </c>
      <c r="L236" t="s">
        <v>1268</v>
      </c>
      <c r="M236">
        <v>98124</v>
      </c>
      <c r="N236" t="s">
        <v>1241</v>
      </c>
    </row>
    <row r="237" spans="1:14">
      <c r="A237">
        <v>10470</v>
      </c>
      <c r="B237" t="s">
        <v>1392</v>
      </c>
      <c r="C237">
        <v>4</v>
      </c>
      <c r="D237" s="213">
        <v>35500</v>
      </c>
      <c r="E237" s="213">
        <v>35528</v>
      </c>
      <c r="F237" s="213">
        <v>35503</v>
      </c>
      <c r="G237">
        <v>2</v>
      </c>
      <c r="H237">
        <v>64.56</v>
      </c>
      <c r="I237" t="s">
        <v>1393</v>
      </c>
      <c r="J237" t="s">
        <v>1394</v>
      </c>
      <c r="K237" t="s">
        <v>1395</v>
      </c>
      <c r="M237">
        <v>13008</v>
      </c>
      <c r="N237" t="s">
        <v>824</v>
      </c>
    </row>
    <row r="238" spans="1:14">
      <c r="A238">
        <v>10471</v>
      </c>
      <c r="B238" t="s">
        <v>1316</v>
      </c>
      <c r="C238">
        <v>2</v>
      </c>
      <c r="D238" s="213">
        <v>35500</v>
      </c>
      <c r="E238" s="213">
        <v>35528</v>
      </c>
      <c r="F238" s="213">
        <v>35507</v>
      </c>
      <c r="G238">
        <v>3</v>
      </c>
      <c r="H238">
        <v>45.59</v>
      </c>
      <c r="I238" t="s">
        <v>1317</v>
      </c>
      <c r="J238" t="s">
        <v>1318</v>
      </c>
      <c r="K238" t="s">
        <v>1319</v>
      </c>
      <c r="M238" t="s">
        <v>1320</v>
      </c>
      <c r="N238" t="s">
        <v>1321</v>
      </c>
    </row>
    <row r="239" spans="1:14">
      <c r="A239">
        <v>10472</v>
      </c>
      <c r="B239" t="s">
        <v>1430</v>
      </c>
      <c r="C239">
        <v>8</v>
      </c>
      <c r="D239" s="213">
        <v>35501</v>
      </c>
      <c r="E239" s="213">
        <v>35529</v>
      </c>
      <c r="F239" s="213">
        <v>35508</v>
      </c>
      <c r="G239">
        <v>1</v>
      </c>
      <c r="H239">
        <v>4.2</v>
      </c>
      <c r="I239" t="s">
        <v>1431</v>
      </c>
      <c r="J239" t="s">
        <v>1432</v>
      </c>
      <c r="K239" t="s">
        <v>1319</v>
      </c>
      <c r="M239" t="s">
        <v>1433</v>
      </c>
      <c r="N239" t="s">
        <v>1321</v>
      </c>
    </row>
    <row r="240" spans="1:14">
      <c r="A240">
        <v>10473</v>
      </c>
      <c r="B240" t="s">
        <v>1365</v>
      </c>
      <c r="C240">
        <v>1</v>
      </c>
      <c r="D240" s="213">
        <v>35502</v>
      </c>
      <c r="E240" s="213">
        <v>35516</v>
      </c>
      <c r="F240" s="213">
        <v>35510</v>
      </c>
      <c r="G240">
        <v>3</v>
      </c>
      <c r="H240">
        <v>16.37</v>
      </c>
      <c r="I240" t="s">
        <v>1366</v>
      </c>
      <c r="J240" t="s">
        <v>1367</v>
      </c>
    </row>
    <row r="241" spans="1:14">
      <c r="A241" t="s">
        <v>1368</v>
      </c>
      <c r="B241" t="s">
        <v>1369</v>
      </c>
      <c r="C241" t="s">
        <v>1370</v>
      </c>
      <c r="D241" t="s">
        <v>1371</v>
      </c>
      <c r="E241" t="s">
        <v>1321</v>
      </c>
    </row>
    <row r="242" spans="1:14">
      <c r="A242">
        <v>10474</v>
      </c>
      <c r="B242" t="s">
        <v>1372</v>
      </c>
      <c r="C242">
        <v>5</v>
      </c>
      <c r="D242" s="213">
        <v>35502</v>
      </c>
      <c r="E242" s="213">
        <v>35530</v>
      </c>
      <c r="F242" s="213">
        <v>35510</v>
      </c>
      <c r="G242">
        <v>2</v>
      </c>
      <c r="H242">
        <v>83.49</v>
      </c>
      <c r="I242" t="s">
        <v>1373</v>
      </c>
      <c r="J242" t="s">
        <v>1374</v>
      </c>
      <c r="K242" t="s">
        <v>1226</v>
      </c>
      <c r="M242">
        <v>5033</v>
      </c>
      <c r="N242" t="s">
        <v>1227</v>
      </c>
    </row>
    <row r="243" spans="1:14">
      <c r="A243">
        <v>10475</v>
      </c>
      <c r="B243" t="s">
        <v>1193</v>
      </c>
      <c r="C243">
        <v>9</v>
      </c>
      <c r="D243" s="213">
        <v>35503</v>
      </c>
      <c r="E243" s="213">
        <v>35531</v>
      </c>
      <c r="F243" s="213">
        <v>35524</v>
      </c>
      <c r="G243">
        <v>1</v>
      </c>
      <c r="H243">
        <v>68.52</v>
      </c>
      <c r="I243" t="s">
        <v>1194</v>
      </c>
      <c r="J243" t="s">
        <v>1195</v>
      </c>
      <c r="K243" t="s">
        <v>1196</v>
      </c>
      <c r="M243" t="s">
        <v>1197</v>
      </c>
      <c r="N243" t="s">
        <v>833</v>
      </c>
    </row>
    <row r="244" spans="1:14">
      <c r="A244">
        <v>10476</v>
      </c>
      <c r="B244" t="s">
        <v>1212</v>
      </c>
      <c r="C244">
        <v>8</v>
      </c>
      <c r="D244" s="213">
        <v>35506</v>
      </c>
      <c r="E244" s="213">
        <v>35534</v>
      </c>
      <c r="F244" s="213">
        <v>35513</v>
      </c>
      <c r="G244">
        <v>3</v>
      </c>
      <c r="H244">
        <v>4.41</v>
      </c>
      <c r="I244" t="s">
        <v>1213</v>
      </c>
      <c r="J244" t="s">
        <v>1214</v>
      </c>
      <c r="K244" t="s">
        <v>1215</v>
      </c>
      <c r="L244" t="s">
        <v>1216</v>
      </c>
      <c r="M244">
        <v>5022</v>
      </c>
      <c r="N244" t="s">
        <v>1217</v>
      </c>
    </row>
    <row r="245" spans="1:14">
      <c r="A245">
        <v>10477</v>
      </c>
      <c r="B245" t="s">
        <v>1403</v>
      </c>
      <c r="C245">
        <v>5</v>
      </c>
      <c r="D245" s="213">
        <v>35506</v>
      </c>
      <c r="E245" s="213">
        <v>35534</v>
      </c>
      <c r="F245" s="213">
        <v>35514</v>
      </c>
      <c r="G245">
        <v>2</v>
      </c>
      <c r="H245">
        <v>13.02</v>
      </c>
      <c r="I245" t="s">
        <v>1404</v>
      </c>
      <c r="J245" t="s">
        <v>1405</v>
      </c>
      <c r="K245" t="s">
        <v>1390</v>
      </c>
      <c r="M245">
        <v>1756</v>
      </c>
      <c r="N245" t="s">
        <v>1391</v>
      </c>
    </row>
    <row r="246" spans="1:14">
      <c r="A246">
        <v>10478</v>
      </c>
      <c r="B246" t="s">
        <v>1189</v>
      </c>
      <c r="C246">
        <v>2</v>
      </c>
      <c r="D246" s="213">
        <v>35507</v>
      </c>
      <c r="E246" s="213">
        <v>35521</v>
      </c>
      <c r="F246" s="213">
        <v>35515</v>
      </c>
      <c r="G246">
        <v>3</v>
      </c>
      <c r="H246">
        <v>4.8099999999999996</v>
      </c>
      <c r="I246" t="s">
        <v>1190</v>
      </c>
      <c r="J246" t="s">
        <v>1191</v>
      </c>
      <c r="K246" t="s">
        <v>1192</v>
      </c>
      <c r="M246">
        <v>69004</v>
      </c>
      <c r="N246" t="s">
        <v>824</v>
      </c>
    </row>
    <row r="247" spans="1:14">
      <c r="A247">
        <v>10479</v>
      </c>
      <c r="B247" t="s">
        <v>1236</v>
      </c>
      <c r="C247">
        <v>3</v>
      </c>
      <c r="D247" s="213">
        <v>35508</v>
      </c>
      <c r="E247" s="213">
        <v>35536</v>
      </c>
      <c r="F247" s="213">
        <v>35510</v>
      </c>
      <c r="G247">
        <v>3</v>
      </c>
      <c r="H247">
        <v>708.95</v>
      </c>
      <c r="I247" t="s">
        <v>1237</v>
      </c>
      <c r="J247" t="s">
        <v>1238</v>
      </c>
      <c r="K247" t="s">
        <v>1239</v>
      </c>
      <c r="L247" t="s">
        <v>1240</v>
      </c>
      <c r="M247">
        <v>87110</v>
      </c>
      <c r="N247" t="s">
        <v>1241</v>
      </c>
    </row>
    <row r="248" spans="1:14">
      <c r="A248">
        <v>10480</v>
      </c>
      <c r="B248" t="s">
        <v>1484</v>
      </c>
      <c r="C248">
        <v>6</v>
      </c>
      <c r="D248" s="213">
        <v>35509</v>
      </c>
      <c r="E248" s="213">
        <v>35537</v>
      </c>
      <c r="F248" s="213">
        <v>35513</v>
      </c>
      <c r="G248">
        <v>2</v>
      </c>
      <c r="H248">
        <v>1.35</v>
      </c>
      <c r="I248" t="s">
        <v>1485</v>
      </c>
      <c r="J248" t="s">
        <v>1486</v>
      </c>
      <c r="K248" t="s">
        <v>1487</v>
      </c>
      <c r="M248">
        <v>59000</v>
      </c>
      <c r="N248" t="s">
        <v>824</v>
      </c>
    </row>
    <row r="249" spans="1:14">
      <c r="A249">
        <v>10481</v>
      </c>
      <c r="B249" t="s">
        <v>1308</v>
      </c>
      <c r="C249">
        <v>8</v>
      </c>
      <c r="D249" s="213">
        <v>35509</v>
      </c>
      <c r="E249" s="213">
        <v>35537</v>
      </c>
      <c r="F249" s="213">
        <v>35514</v>
      </c>
      <c r="G249">
        <v>2</v>
      </c>
      <c r="H249">
        <v>64.33</v>
      </c>
      <c r="I249" t="s">
        <v>1309</v>
      </c>
      <c r="J249" t="s">
        <v>1310</v>
      </c>
      <c r="K249" t="s">
        <v>1158</v>
      </c>
      <c r="L249" t="s">
        <v>57</v>
      </c>
      <c r="M249" t="s">
        <v>1311</v>
      </c>
      <c r="N249" t="s">
        <v>831</v>
      </c>
    </row>
    <row r="250" spans="1:14">
      <c r="A250">
        <v>10482</v>
      </c>
      <c r="B250" t="s">
        <v>1510</v>
      </c>
      <c r="C250">
        <v>1</v>
      </c>
      <c r="D250" s="213">
        <v>35510</v>
      </c>
      <c r="E250" s="213">
        <v>35538</v>
      </c>
      <c r="F250" s="213">
        <v>35530</v>
      </c>
      <c r="G250">
        <v>3</v>
      </c>
      <c r="H250">
        <v>7.48</v>
      </c>
      <c r="I250" t="s">
        <v>1511</v>
      </c>
      <c r="J250" t="s">
        <v>1512</v>
      </c>
      <c r="K250" t="s">
        <v>1513</v>
      </c>
      <c r="L250" t="s">
        <v>1268</v>
      </c>
      <c r="M250">
        <v>99362</v>
      </c>
      <c r="N250" t="s">
        <v>1241</v>
      </c>
    </row>
    <row r="251" spans="1:14">
      <c r="A251">
        <v>10483</v>
      </c>
      <c r="B251" t="s">
        <v>1264</v>
      </c>
      <c r="C251">
        <v>7</v>
      </c>
      <c r="D251" s="213">
        <v>35513</v>
      </c>
      <c r="E251" s="213">
        <v>35541</v>
      </c>
      <c r="F251" s="213">
        <v>35545</v>
      </c>
      <c r="G251">
        <v>2</v>
      </c>
      <c r="H251">
        <v>15.28</v>
      </c>
      <c r="I251" t="s">
        <v>1265</v>
      </c>
      <c r="J251" t="s">
        <v>1266</v>
      </c>
      <c r="K251" t="s">
        <v>1267</v>
      </c>
      <c r="L251" t="s">
        <v>1268</v>
      </c>
      <c r="M251">
        <v>98124</v>
      </c>
      <c r="N251" t="s">
        <v>1241</v>
      </c>
    </row>
    <row r="252" spans="1:14">
      <c r="A252">
        <v>10484</v>
      </c>
      <c r="B252" t="s">
        <v>1316</v>
      </c>
      <c r="C252">
        <v>3</v>
      </c>
      <c r="D252" s="213">
        <v>35513</v>
      </c>
      <c r="E252" s="213">
        <v>35541</v>
      </c>
      <c r="F252" s="213">
        <v>35521</v>
      </c>
      <c r="G252">
        <v>3</v>
      </c>
      <c r="H252">
        <v>6.88</v>
      </c>
      <c r="I252" t="s">
        <v>1317</v>
      </c>
      <c r="J252" t="s">
        <v>1318</v>
      </c>
      <c r="K252" t="s">
        <v>1319</v>
      </c>
      <c r="M252" t="s">
        <v>1320</v>
      </c>
      <c r="N252" t="s">
        <v>1321</v>
      </c>
    </row>
    <row r="253" spans="1:14">
      <c r="A253">
        <v>10485</v>
      </c>
      <c r="B253" t="s">
        <v>1479</v>
      </c>
      <c r="C253">
        <v>4</v>
      </c>
      <c r="D253" s="213">
        <v>35514</v>
      </c>
      <c r="E253" s="213">
        <v>35528</v>
      </c>
      <c r="F253" s="213">
        <v>35520</v>
      </c>
      <c r="G253">
        <v>2</v>
      </c>
      <c r="H253">
        <v>64.45</v>
      </c>
      <c r="I253" t="s">
        <v>1480</v>
      </c>
      <c r="J253" t="s">
        <v>1481</v>
      </c>
      <c r="K253" t="s">
        <v>1482</v>
      </c>
      <c r="L253" t="s">
        <v>1483</v>
      </c>
      <c r="M253">
        <v>4980</v>
      </c>
      <c r="N253" t="s">
        <v>1217</v>
      </c>
    </row>
    <row r="254" spans="1:14">
      <c r="A254">
        <v>10486</v>
      </c>
      <c r="B254" t="s">
        <v>1212</v>
      </c>
      <c r="C254">
        <v>1</v>
      </c>
      <c r="D254" s="213">
        <v>35515</v>
      </c>
      <c r="E254" s="213">
        <v>35543</v>
      </c>
      <c r="F254" s="213">
        <v>35522</v>
      </c>
      <c r="G254">
        <v>2</v>
      </c>
      <c r="H254">
        <v>30.53</v>
      </c>
      <c r="I254" t="s">
        <v>1213</v>
      </c>
      <c r="J254" t="s">
        <v>1214</v>
      </c>
      <c r="K254" t="s">
        <v>1215</v>
      </c>
      <c r="L254" t="s">
        <v>1216</v>
      </c>
      <c r="M254">
        <v>5022</v>
      </c>
      <c r="N254" t="s">
        <v>1217</v>
      </c>
    </row>
    <row r="255" spans="1:14">
      <c r="A255">
        <v>10487</v>
      </c>
      <c r="B255" t="s">
        <v>1453</v>
      </c>
      <c r="C255">
        <v>2</v>
      </c>
      <c r="D255" s="213">
        <v>35515</v>
      </c>
      <c r="E255" s="213">
        <v>35543</v>
      </c>
      <c r="F255" s="213">
        <v>35517</v>
      </c>
      <c r="G255">
        <v>2</v>
      </c>
      <c r="H255">
        <v>71.069999999999993</v>
      </c>
      <c r="I255" t="s">
        <v>1454</v>
      </c>
      <c r="J255" t="s">
        <v>1455</v>
      </c>
      <c r="K255" t="s">
        <v>983</v>
      </c>
      <c r="L255" t="s">
        <v>38</v>
      </c>
      <c r="M255" t="s">
        <v>1456</v>
      </c>
      <c r="N255" t="s">
        <v>831</v>
      </c>
    </row>
    <row r="256" spans="1:14">
      <c r="A256">
        <v>10488</v>
      </c>
      <c r="B256" t="s">
        <v>1256</v>
      </c>
      <c r="C256">
        <v>8</v>
      </c>
      <c r="D256" s="213">
        <v>35516</v>
      </c>
      <c r="E256" s="213">
        <v>35544</v>
      </c>
      <c r="F256" s="213">
        <v>35522</v>
      </c>
      <c r="G256">
        <v>2</v>
      </c>
      <c r="H256">
        <v>4.93</v>
      </c>
      <c r="I256" t="s">
        <v>1257</v>
      </c>
      <c r="J256" t="s">
        <v>1258</v>
      </c>
      <c r="K256" t="s">
        <v>1259</v>
      </c>
      <c r="M256">
        <v>80805</v>
      </c>
      <c r="N256" t="s">
        <v>1184</v>
      </c>
    </row>
    <row r="257" spans="1:14">
      <c r="A257">
        <v>10489</v>
      </c>
      <c r="B257" t="s">
        <v>1419</v>
      </c>
      <c r="C257">
        <v>6</v>
      </c>
      <c r="D257" s="213">
        <v>35517</v>
      </c>
      <c r="E257" s="213">
        <v>35545</v>
      </c>
      <c r="F257" s="213">
        <v>35529</v>
      </c>
      <c r="G257">
        <v>2</v>
      </c>
      <c r="H257">
        <v>5.29</v>
      </c>
      <c r="I257" t="s">
        <v>1420</v>
      </c>
      <c r="J257" t="s">
        <v>1421</v>
      </c>
      <c r="K257" t="s">
        <v>1422</v>
      </c>
      <c r="M257">
        <v>5020</v>
      </c>
      <c r="N257" t="s">
        <v>1222</v>
      </c>
    </row>
    <row r="258" spans="1:14">
      <c r="A258">
        <v>10490</v>
      </c>
      <c r="B258" t="s">
        <v>1212</v>
      </c>
      <c r="C258">
        <v>7</v>
      </c>
      <c r="D258" s="213">
        <v>35520</v>
      </c>
      <c r="E258" s="213">
        <v>35548</v>
      </c>
      <c r="F258" s="213">
        <v>35523</v>
      </c>
      <c r="G258">
        <v>2</v>
      </c>
      <c r="H258">
        <v>210.19</v>
      </c>
      <c r="I258" t="s">
        <v>1213</v>
      </c>
      <c r="J258" t="s">
        <v>1214</v>
      </c>
      <c r="K258" t="s">
        <v>1215</v>
      </c>
      <c r="L258" t="s">
        <v>1216</v>
      </c>
      <c r="M258">
        <v>5022</v>
      </c>
      <c r="N258" t="s">
        <v>1217</v>
      </c>
    </row>
    <row r="259" spans="1:14">
      <c r="A259">
        <v>10491</v>
      </c>
      <c r="B259" t="s">
        <v>1387</v>
      </c>
      <c r="C259">
        <v>8</v>
      </c>
      <c r="D259" s="213">
        <v>35520</v>
      </c>
      <c r="E259" s="213">
        <v>35548</v>
      </c>
      <c r="F259" s="213">
        <v>35528</v>
      </c>
      <c r="G259">
        <v>3</v>
      </c>
      <c r="H259">
        <v>16.96</v>
      </c>
      <c r="I259" t="s">
        <v>1388</v>
      </c>
      <c r="J259" t="s">
        <v>1389</v>
      </c>
      <c r="K259" t="s">
        <v>1390</v>
      </c>
      <c r="M259">
        <v>1675</v>
      </c>
      <c r="N259" t="s">
        <v>1391</v>
      </c>
    </row>
    <row r="260" spans="1:14">
      <c r="A260">
        <v>10492</v>
      </c>
      <c r="B260" t="s">
        <v>1473</v>
      </c>
      <c r="C260">
        <v>3</v>
      </c>
      <c r="D260" s="213">
        <v>35521</v>
      </c>
      <c r="E260" s="213">
        <v>35549</v>
      </c>
      <c r="F260" s="213">
        <v>35531</v>
      </c>
      <c r="G260">
        <v>1</v>
      </c>
      <c r="H260">
        <v>62.89</v>
      </c>
      <c r="I260" t="s">
        <v>1474</v>
      </c>
      <c r="J260" t="s">
        <v>1475</v>
      </c>
      <c r="K260" t="s">
        <v>1476</v>
      </c>
      <c r="L260" t="s">
        <v>1477</v>
      </c>
      <c r="M260" t="s">
        <v>1478</v>
      </c>
      <c r="N260" t="s">
        <v>1402</v>
      </c>
    </row>
    <row r="261" spans="1:14">
      <c r="A261">
        <v>10493</v>
      </c>
      <c r="B261" t="s">
        <v>1415</v>
      </c>
      <c r="C261">
        <v>4</v>
      </c>
      <c r="D261" s="213">
        <v>35522</v>
      </c>
      <c r="E261" s="213">
        <v>35550</v>
      </c>
      <c r="F261" s="213">
        <v>35530</v>
      </c>
      <c r="G261">
        <v>3</v>
      </c>
      <c r="H261">
        <v>10.64</v>
      </c>
      <c r="I261" t="s">
        <v>1416</v>
      </c>
      <c r="J261" t="s">
        <v>1417</v>
      </c>
      <c r="K261" t="s">
        <v>1418</v>
      </c>
      <c r="M261">
        <v>31000</v>
      </c>
      <c r="N261" t="s">
        <v>824</v>
      </c>
    </row>
    <row r="262" spans="1:14">
      <c r="A262">
        <v>10494</v>
      </c>
      <c r="B262" t="s">
        <v>1322</v>
      </c>
      <c r="C262">
        <v>4</v>
      </c>
      <c r="D262" s="213">
        <v>35522</v>
      </c>
      <c r="E262" s="213">
        <v>35550</v>
      </c>
      <c r="F262" s="213">
        <v>35529</v>
      </c>
      <c r="G262">
        <v>2</v>
      </c>
      <c r="H262">
        <v>65.989999999999995</v>
      </c>
      <c r="I262" t="s">
        <v>1323</v>
      </c>
      <c r="J262" t="s">
        <v>1324</v>
      </c>
      <c r="K262" t="s">
        <v>983</v>
      </c>
      <c r="L262" t="s">
        <v>38</v>
      </c>
      <c r="M262" t="s">
        <v>1325</v>
      </c>
      <c r="N262" t="s">
        <v>831</v>
      </c>
    </row>
    <row r="263" spans="1:14">
      <c r="A263">
        <v>10495</v>
      </c>
      <c r="B263" t="s">
        <v>1514</v>
      </c>
      <c r="C263">
        <v>3</v>
      </c>
      <c r="D263" s="213">
        <v>35523</v>
      </c>
      <c r="E263" s="213">
        <v>35551</v>
      </c>
      <c r="F263" s="213">
        <v>35531</v>
      </c>
      <c r="G263">
        <v>3</v>
      </c>
      <c r="H263">
        <v>4.6500000000000004</v>
      </c>
      <c r="I263" t="s">
        <v>1515</v>
      </c>
      <c r="J263" t="s">
        <v>1516</v>
      </c>
      <c r="K263" t="s">
        <v>1517</v>
      </c>
      <c r="L263" t="s">
        <v>1477</v>
      </c>
      <c r="M263" t="s">
        <v>1518</v>
      </c>
      <c r="N263" t="s">
        <v>1402</v>
      </c>
    </row>
    <row r="264" spans="1:14">
      <c r="A264">
        <v>10496</v>
      </c>
      <c r="B264" t="s">
        <v>1326</v>
      </c>
      <c r="C264">
        <v>7</v>
      </c>
      <c r="D264" s="213">
        <v>35524</v>
      </c>
      <c r="E264" s="213">
        <v>35552</v>
      </c>
      <c r="F264" s="213">
        <v>35527</v>
      </c>
      <c r="G264">
        <v>2</v>
      </c>
      <c r="H264">
        <v>46.77</v>
      </c>
      <c r="I264" t="s">
        <v>1327</v>
      </c>
      <c r="J264" t="s">
        <v>1328</v>
      </c>
      <c r="K264" t="s">
        <v>983</v>
      </c>
      <c r="L264" t="s">
        <v>38</v>
      </c>
      <c r="M264" t="s">
        <v>1329</v>
      </c>
      <c r="N264" t="s">
        <v>831</v>
      </c>
    </row>
    <row r="265" spans="1:14">
      <c r="A265">
        <v>10497</v>
      </c>
      <c r="B265" t="s">
        <v>1294</v>
      </c>
      <c r="C265">
        <v>7</v>
      </c>
      <c r="D265" s="213">
        <v>35524</v>
      </c>
      <c r="E265" s="213">
        <v>35552</v>
      </c>
      <c r="F265" s="213">
        <v>35527</v>
      </c>
      <c r="G265">
        <v>1</v>
      </c>
      <c r="H265">
        <v>36.21</v>
      </c>
      <c r="I265" t="s">
        <v>1295</v>
      </c>
      <c r="J265" t="s">
        <v>1296</v>
      </c>
      <c r="K265" t="s">
        <v>1297</v>
      </c>
      <c r="M265">
        <v>60528</v>
      </c>
      <c r="N265" t="s">
        <v>1184</v>
      </c>
    </row>
    <row r="266" spans="1:14">
      <c r="A266">
        <v>10498</v>
      </c>
      <c r="B266" t="s">
        <v>1212</v>
      </c>
      <c r="C266">
        <v>8</v>
      </c>
      <c r="D266" s="213">
        <v>35527</v>
      </c>
      <c r="E266" s="213">
        <v>35555</v>
      </c>
      <c r="F266" s="213">
        <v>35531</v>
      </c>
      <c r="G266">
        <v>2</v>
      </c>
      <c r="H266">
        <v>29.75</v>
      </c>
      <c r="I266" t="s">
        <v>1213</v>
      </c>
      <c r="J266" t="s">
        <v>1214</v>
      </c>
      <c r="K266" t="s">
        <v>1215</v>
      </c>
      <c r="L266" t="s">
        <v>1216</v>
      </c>
      <c r="M266">
        <v>5022</v>
      </c>
      <c r="N266" t="s">
        <v>1217</v>
      </c>
    </row>
    <row r="267" spans="1:14">
      <c r="A267">
        <v>10499</v>
      </c>
      <c r="B267" t="s">
        <v>1303</v>
      </c>
      <c r="C267">
        <v>4</v>
      </c>
      <c r="D267" s="213">
        <v>35528</v>
      </c>
      <c r="E267" s="213">
        <v>35556</v>
      </c>
      <c r="F267" s="213">
        <v>35536</v>
      </c>
      <c r="G267">
        <v>2</v>
      </c>
      <c r="H267">
        <v>102.02</v>
      </c>
      <c r="I267" t="s">
        <v>1304</v>
      </c>
      <c r="J267" t="s">
        <v>1305</v>
      </c>
      <c r="K267" t="s">
        <v>1306</v>
      </c>
      <c r="L267" t="s">
        <v>1307</v>
      </c>
      <c r="M267">
        <v>3508</v>
      </c>
      <c r="N267" t="s">
        <v>1217</v>
      </c>
    </row>
    <row r="268" spans="1:14">
      <c r="A268">
        <v>10500</v>
      </c>
      <c r="B268" t="s">
        <v>1415</v>
      </c>
      <c r="C268">
        <v>6</v>
      </c>
      <c r="D268" s="213">
        <v>35529</v>
      </c>
      <c r="E268" s="213">
        <v>35557</v>
      </c>
      <c r="F268" s="213">
        <v>35537</v>
      </c>
      <c r="G268">
        <v>1</v>
      </c>
      <c r="H268">
        <v>42.68</v>
      </c>
      <c r="I268" t="s">
        <v>1416</v>
      </c>
      <c r="J268" t="s">
        <v>1417</v>
      </c>
      <c r="K268" t="s">
        <v>1418</v>
      </c>
      <c r="M268">
        <v>31000</v>
      </c>
      <c r="N268" t="s">
        <v>824</v>
      </c>
    </row>
    <row r="269" spans="1:14">
      <c r="A269">
        <v>10501</v>
      </c>
      <c r="B269" t="s">
        <v>1519</v>
      </c>
      <c r="C269">
        <v>9</v>
      </c>
      <c r="D269" s="213">
        <v>35529</v>
      </c>
      <c r="E269" s="213">
        <v>35557</v>
      </c>
      <c r="F269" s="213">
        <v>35536</v>
      </c>
      <c r="G269">
        <v>3</v>
      </c>
      <c r="H269">
        <v>8.85</v>
      </c>
      <c r="I269" t="s">
        <v>1520</v>
      </c>
      <c r="J269" t="s">
        <v>1521</v>
      </c>
      <c r="K269" t="s">
        <v>1522</v>
      </c>
      <c r="M269">
        <v>68306</v>
      </c>
      <c r="N269" t="s">
        <v>1184</v>
      </c>
    </row>
    <row r="270" spans="1:14">
      <c r="A270">
        <v>10502</v>
      </c>
      <c r="B270" t="s">
        <v>1372</v>
      </c>
      <c r="C270">
        <v>2</v>
      </c>
      <c r="D270" s="213">
        <v>35530</v>
      </c>
      <c r="E270" s="213">
        <v>35558</v>
      </c>
      <c r="F270" s="213">
        <v>35549</v>
      </c>
      <c r="G270">
        <v>1</v>
      </c>
      <c r="H270">
        <v>69.319999999999993</v>
      </c>
      <c r="I270" t="s">
        <v>1373</v>
      </c>
      <c r="J270" t="s">
        <v>1374</v>
      </c>
      <c r="K270" t="s">
        <v>1226</v>
      </c>
      <c r="M270">
        <v>5033</v>
      </c>
      <c r="N270" t="s">
        <v>1227</v>
      </c>
    </row>
    <row r="271" spans="1:14">
      <c r="A271">
        <v>10503</v>
      </c>
      <c r="B271" t="s">
        <v>1330</v>
      </c>
      <c r="C271">
        <v>6</v>
      </c>
      <c r="D271" s="213">
        <v>35531</v>
      </c>
      <c r="E271" s="213">
        <v>35559</v>
      </c>
      <c r="F271" s="213">
        <v>35536</v>
      </c>
      <c r="G271">
        <v>2</v>
      </c>
      <c r="H271">
        <v>16.739999999999998</v>
      </c>
      <c r="I271" t="s">
        <v>1331</v>
      </c>
      <c r="J271" t="s">
        <v>1332</v>
      </c>
      <c r="K271" t="s">
        <v>1333</v>
      </c>
      <c r="L271" t="s">
        <v>1334</v>
      </c>
      <c r="N271" t="s">
        <v>1335</v>
      </c>
    </row>
    <row r="272" spans="1:14">
      <c r="A272">
        <v>10504</v>
      </c>
      <c r="B272" t="s">
        <v>1264</v>
      </c>
      <c r="C272">
        <v>4</v>
      </c>
      <c r="D272" s="213">
        <v>35531</v>
      </c>
      <c r="E272" s="213">
        <v>35559</v>
      </c>
      <c r="F272" s="213">
        <v>35538</v>
      </c>
      <c r="G272">
        <v>3</v>
      </c>
      <c r="H272">
        <v>59.13</v>
      </c>
      <c r="I272" t="s">
        <v>1265</v>
      </c>
      <c r="J272" t="s">
        <v>1266</v>
      </c>
      <c r="K272" t="s">
        <v>1267</v>
      </c>
      <c r="L272" t="s">
        <v>1268</v>
      </c>
      <c r="M272">
        <v>98124</v>
      </c>
      <c r="N272" t="s">
        <v>1241</v>
      </c>
    </row>
    <row r="273" spans="1:14">
      <c r="A273">
        <v>10505</v>
      </c>
      <c r="B273" t="s">
        <v>1396</v>
      </c>
      <c r="C273">
        <v>3</v>
      </c>
      <c r="D273" s="213">
        <v>35534</v>
      </c>
      <c r="E273" s="213">
        <v>35562</v>
      </c>
      <c r="F273" s="213">
        <v>35541</v>
      </c>
      <c r="G273">
        <v>3</v>
      </c>
      <c r="H273">
        <v>7.13</v>
      </c>
      <c r="I273" t="s">
        <v>1397</v>
      </c>
      <c r="J273" t="s">
        <v>1398</v>
      </c>
      <c r="K273" t="s">
        <v>1399</v>
      </c>
      <c r="L273" t="s">
        <v>1400</v>
      </c>
      <c r="M273" t="s">
        <v>1401</v>
      </c>
      <c r="N273" t="s">
        <v>1402</v>
      </c>
    </row>
    <row r="274" spans="1:14">
      <c r="A274">
        <v>10506</v>
      </c>
      <c r="B274" t="s">
        <v>1375</v>
      </c>
      <c r="C274">
        <v>9</v>
      </c>
      <c r="D274" s="213">
        <v>35535</v>
      </c>
      <c r="E274" s="213">
        <v>35563</v>
      </c>
      <c r="F274" s="213">
        <v>35552</v>
      </c>
      <c r="G274">
        <v>2</v>
      </c>
      <c r="H274">
        <v>21.19</v>
      </c>
      <c r="I274" t="s">
        <v>1376</v>
      </c>
      <c r="J274" t="s">
        <v>1377</v>
      </c>
      <c r="K274" t="s">
        <v>1378</v>
      </c>
      <c r="M274">
        <v>14776</v>
      </c>
      <c r="N274" t="s">
        <v>1184</v>
      </c>
    </row>
    <row r="275" spans="1:14">
      <c r="A275">
        <v>10507</v>
      </c>
      <c r="B275" t="s">
        <v>1442</v>
      </c>
      <c r="C275">
        <v>7</v>
      </c>
      <c r="D275" s="213">
        <v>35535</v>
      </c>
      <c r="E275" s="213">
        <v>35563</v>
      </c>
      <c r="F275" s="213">
        <v>35542</v>
      </c>
      <c r="G275">
        <v>1</v>
      </c>
      <c r="H275">
        <v>47.45</v>
      </c>
      <c r="I275" t="s">
        <v>1443</v>
      </c>
      <c r="J275" t="s">
        <v>1444</v>
      </c>
      <c r="K275" t="s">
        <v>1226</v>
      </c>
      <c r="M275">
        <v>5023</v>
      </c>
      <c r="N275" t="s">
        <v>1227</v>
      </c>
    </row>
    <row r="276" spans="1:14">
      <c r="A276">
        <v>10508</v>
      </c>
      <c r="B276" t="s">
        <v>1228</v>
      </c>
      <c r="C276">
        <v>1</v>
      </c>
      <c r="D276" s="213">
        <v>35536</v>
      </c>
      <c r="E276" s="213">
        <v>35564</v>
      </c>
      <c r="F276" s="213">
        <v>35563</v>
      </c>
      <c r="G276">
        <v>2</v>
      </c>
      <c r="H276">
        <v>4.99</v>
      </c>
      <c r="I276" t="s">
        <v>1229</v>
      </c>
      <c r="J276" t="s">
        <v>1230</v>
      </c>
      <c r="K276" t="s">
        <v>1231</v>
      </c>
      <c r="M276">
        <v>50739</v>
      </c>
      <c r="N276" t="s">
        <v>1184</v>
      </c>
    </row>
    <row r="277" spans="1:14">
      <c r="A277">
        <v>10509</v>
      </c>
      <c r="B277" t="s">
        <v>1519</v>
      </c>
      <c r="C277">
        <v>4</v>
      </c>
      <c r="D277" s="213">
        <v>35537</v>
      </c>
      <c r="E277" s="213">
        <v>35565</v>
      </c>
      <c r="F277" s="213">
        <v>35549</v>
      </c>
      <c r="G277">
        <v>1</v>
      </c>
      <c r="H277">
        <v>0.15</v>
      </c>
      <c r="I277" t="s">
        <v>1520</v>
      </c>
      <c r="J277" t="s">
        <v>1521</v>
      </c>
      <c r="K277" t="s">
        <v>1522</v>
      </c>
      <c r="M277">
        <v>68306</v>
      </c>
      <c r="N277" t="s">
        <v>1184</v>
      </c>
    </row>
    <row r="278" spans="1:14">
      <c r="A278">
        <v>10510</v>
      </c>
      <c r="B278" t="s">
        <v>1379</v>
      </c>
      <c r="C278">
        <v>6</v>
      </c>
      <c r="D278" s="213">
        <v>35538</v>
      </c>
      <c r="E278" s="213">
        <v>35566</v>
      </c>
      <c r="F278" s="213">
        <v>35548</v>
      </c>
      <c r="G278">
        <v>3</v>
      </c>
      <c r="H278">
        <v>367.63</v>
      </c>
      <c r="I278" t="s">
        <v>1380</v>
      </c>
      <c r="J278" t="s">
        <v>1381</v>
      </c>
      <c r="K278" t="s">
        <v>1382</v>
      </c>
      <c r="L278" t="s">
        <v>1383</v>
      </c>
      <c r="M278">
        <v>83720</v>
      </c>
      <c r="N278" t="s">
        <v>1241</v>
      </c>
    </row>
    <row r="279" spans="1:14">
      <c r="A279">
        <v>10511</v>
      </c>
      <c r="B279" t="s">
        <v>1392</v>
      </c>
      <c r="C279">
        <v>4</v>
      </c>
      <c r="D279" s="213">
        <v>35538</v>
      </c>
      <c r="E279" s="213">
        <v>35566</v>
      </c>
      <c r="F279" s="213">
        <v>35541</v>
      </c>
      <c r="G279">
        <v>3</v>
      </c>
      <c r="H279">
        <v>350.64</v>
      </c>
      <c r="I279" t="s">
        <v>1393</v>
      </c>
      <c r="J279" t="s">
        <v>1394</v>
      </c>
      <c r="K279" t="s">
        <v>1395</v>
      </c>
      <c r="M279">
        <v>13008</v>
      </c>
      <c r="N279" t="s">
        <v>824</v>
      </c>
    </row>
    <row r="280" spans="1:14">
      <c r="A280">
        <v>10512</v>
      </c>
      <c r="B280" t="s">
        <v>1411</v>
      </c>
      <c r="C280">
        <v>7</v>
      </c>
      <c r="D280" s="213">
        <v>35541</v>
      </c>
      <c r="E280" s="213">
        <v>35569</v>
      </c>
      <c r="F280" s="213">
        <v>35544</v>
      </c>
      <c r="G280">
        <v>2</v>
      </c>
      <c r="H280">
        <v>3.53</v>
      </c>
      <c r="I280" t="s">
        <v>1412</v>
      </c>
      <c r="J280" t="s">
        <v>1413</v>
      </c>
      <c r="K280" t="s">
        <v>983</v>
      </c>
      <c r="L280" t="s">
        <v>38</v>
      </c>
      <c r="M280" t="s">
        <v>1414</v>
      </c>
      <c r="N280" t="s">
        <v>831</v>
      </c>
    </row>
    <row r="281" spans="1:14">
      <c r="A281">
        <v>10513</v>
      </c>
      <c r="B281" t="s">
        <v>1336</v>
      </c>
      <c r="C281">
        <v>7</v>
      </c>
      <c r="D281" s="213">
        <v>35542</v>
      </c>
      <c r="E281" s="213">
        <v>35584</v>
      </c>
      <c r="F281" s="213">
        <v>35548</v>
      </c>
      <c r="G281">
        <v>1</v>
      </c>
      <c r="H281">
        <v>105.65</v>
      </c>
      <c r="I281" t="s">
        <v>1337</v>
      </c>
      <c r="J281" t="s">
        <v>1338</v>
      </c>
      <c r="K281" t="s">
        <v>1339</v>
      </c>
      <c r="M281">
        <v>70563</v>
      </c>
      <c r="N281" t="s">
        <v>1184</v>
      </c>
    </row>
    <row r="282" spans="1:14">
      <c r="A282">
        <v>10514</v>
      </c>
      <c r="B282" t="s">
        <v>1218</v>
      </c>
      <c r="C282">
        <v>3</v>
      </c>
      <c r="D282" s="213">
        <v>35542</v>
      </c>
      <c r="E282" s="213">
        <v>35570</v>
      </c>
      <c r="F282" s="213">
        <v>35566</v>
      </c>
      <c r="G282">
        <v>2</v>
      </c>
      <c r="H282">
        <v>789.95</v>
      </c>
      <c r="I282" t="s">
        <v>1219</v>
      </c>
      <c r="J282" t="s">
        <v>1220</v>
      </c>
      <c r="K282" t="s">
        <v>1221</v>
      </c>
      <c r="M282">
        <v>8010</v>
      </c>
      <c r="N282" t="s">
        <v>1222</v>
      </c>
    </row>
    <row r="283" spans="1:14">
      <c r="A283">
        <v>10515</v>
      </c>
      <c r="B283" t="s">
        <v>1274</v>
      </c>
      <c r="C283">
        <v>2</v>
      </c>
      <c r="D283" s="213">
        <v>35543</v>
      </c>
      <c r="E283" s="213">
        <v>35557</v>
      </c>
      <c r="F283" s="213">
        <v>35573</v>
      </c>
      <c r="G283">
        <v>1</v>
      </c>
      <c r="H283">
        <v>204.47</v>
      </c>
      <c r="I283" t="s">
        <v>1275</v>
      </c>
      <c r="J283" t="s">
        <v>1276</v>
      </c>
      <c r="K283" t="s">
        <v>1277</v>
      </c>
      <c r="M283">
        <v>1307</v>
      </c>
      <c r="N283" t="s">
        <v>1184</v>
      </c>
    </row>
    <row r="284" spans="1:14">
      <c r="A284">
        <v>10516</v>
      </c>
      <c r="B284" t="s">
        <v>1330</v>
      </c>
      <c r="C284">
        <v>2</v>
      </c>
      <c r="D284" s="213">
        <v>35544</v>
      </c>
      <c r="E284" s="213">
        <v>35572</v>
      </c>
      <c r="F284" s="213">
        <v>35551</v>
      </c>
      <c r="G284">
        <v>3</v>
      </c>
      <c r="H284">
        <v>62.78</v>
      </c>
      <c r="I284" t="s">
        <v>1331</v>
      </c>
      <c r="J284" t="s">
        <v>1332</v>
      </c>
      <c r="K284" t="s">
        <v>1333</v>
      </c>
      <c r="L284" t="s">
        <v>1334</v>
      </c>
      <c r="N284" t="s">
        <v>1335</v>
      </c>
    </row>
    <row r="285" spans="1:14">
      <c r="A285">
        <v>10517</v>
      </c>
      <c r="B285" t="s">
        <v>1523</v>
      </c>
      <c r="C285">
        <v>3</v>
      </c>
      <c r="D285" s="213">
        <v>35544</v>
      </c>
      <c r="E285" s="213">
        <v>35572</v>
      </c>
      <c r="F285" s="213">
        <v>35549</v>
      </c>
      <c r="G285">
        <v>3</v>
      </c>
      <c r="H285">
        <v>32.07</v>
      </c>
      <c r="I285" t="s">
        <v>1524</v>
      </c>
      <c r="J285" t="s">
        <v>1525</v>
      </c>
    </row>
    <row r="286" spans="1:14">
      <c r="A286" t="s">
        <v>1526</v>
      </c>
      <c r="B286" t="s">
        <v>1319</v>
      </c>
      <c r="D286" t="s">
        <v>1527</v>
      </c>
      <c r="E286" t="s">
        <v>1321</v>
      </c>
    </row>
    <row r="287" spans="1:14">
      <c r="A287">
        <v>10518</v>
      </c>
      <c r="B287" t="s">
        <v>1282</v>
      </c>
      <c r="C287">
        <v>4</v>
      </c>
      <c r="D287" s="213">
        <v>35545</v>
      </c>
      <c r="E287" s="213">
        <v>35559</v>
      </c>
      <c r="F287" s="213">
        <v>35555</v>
      </c>
      <c r="G287">
        <v>2</v>
      </c>
      <c r="H287">
        <v>218.15</v>
      </c>
      <c r="I287" t="s">
        <v>1283</v>
      </c>
      <c r="J287" t="s">
        <v>1284</v>
      </c>
      <c r="K287" t="s">
        <v>1226</v>
      </c>
      <c r="M287">
        <v>5033</v>
      </c>
      <c r="N287" t="s">
        <v>1227</v>
      </c>
    </row>
    <row r="288" spans="1:14">
      <c r="A288">
        <v>10519</v>
      </c>
      <c r="B288" t="s">
        <v>1198</v>
      </c>
      <c r="C288">
        <v>6</v>
      </c>
      <c r="D288" s="213">
        <v>35548</v>
      </c>
      <c r="E288" s="213">
        <v>35576</v>
      </c>
      <c r="F288" s="213">
        <v>35551</v>
      </c>
      <c r="G288">
        <v>3</v>
      </c>
      <c r="H288">
        <v>91.76</v>
      </c>
      <c r="I288" t="s">
        <v>1199</v>
      </c>
      <c r="J288" t="s">
        <v>1200</v>
      </c>
      <c r="K288" t="s">
        <v>1201</v>
      </c>
      <c r="M288">
        <v>3012</v>
      </c>
      <c r="N288" t="s">
        <v>1202</v>
      </c>
    </row>
    <row r="289" spans="1:14">
      <c r="A289">
        <v>10520</v>
      </c>
      <c r="B289" t="s">
        <v>1468</v>
      </c>
      <c r="C289">
        <v>7</v>
      </c>
      <c r="D289" s="213">
        <v>35549</v>
      </c>
      <c r="E289" s="213">
        <v>35577</v>
      </c>
      <c r="F289" s="213">
        <v>35551</v>
      </c>
      <c r="G289">
        <v>1</v>
      </c>
      <c r="H289">
        <v>13.37</v>
      </c>
      <c r="I289" t="s">
        <v>1469</v>
      </c>
      <c r="J289" t="s">
        <v>1470</v>
      </c>
      <c r="K289" t="s">
        <v>1471</v>
      </c>
      <c r="M289">
        <v>4110</v>
      </c>
      <c r="N289" t="s">
        <v>1472</v>
      </c>
    </row>
    <row r="290" spans="1:14">
      <c r="A290">
        <v>10521</v>
      </c>
      <c r="B290" t="s">
        <v>1528</v>
      </c>
      <c r="C290">
        <v>8</v>
      </c>
      <c r="D290" s="213">
        <v>35549</v>
      </c>
      <c r="E290" s="213">
        <v>35577</v>
      </c>
      <c r="F290" s="213">
        <v>35552</v>
      </c>
      <c r="G290">
        <v>2</v>
      </c>
      <c r="H290">
        <v>17.22</v>
      </c>
      <c r="I290" t="s">
        <v>1529</v>
      </c>
      <c r="J290" t="s">
        <v>1530</v>
      </c>
      <c r="K290" t="s">
        <v>1492</v>
      </c>
      <c r="M290">
        <v>1010</v>
      </c>
      <c r="N290" t="s">
        <v>1493</v>
      </c>
    </row>
    <row r="291" spans="1:14">
      <c r="A291">
        <v>10522</v>
      </c>
      <c r="B291" t="s">
        <v>1294</v>
      </c>
      <c r="C291">
        <v>4</v>
      </c>
      <c r="D291" s="213">
        <v>35550</v>
      </c>
      <c r="E291" s="213">
        <v>35578</v>
      </c>
      <c r="F291" s="213">
        <v>35556</v>
      </c>
      <c r="G291">
        <v>1</v>
      </c>
      <c r="H291">
        <v>45.33</v>
      </c>
      <c r="I291" t="s">
        <v>1295</v>
      </c>
      <c r="J291" t="s">
        <v>1296</v>
      </c>
      <c r="K291" t="s">
        <v>1297</v>
      </c>
      <c r="M291">
        <v>60528</v>
      </c>
      <c r="N291" t="s">
        <v>1184</v>
      </c>
    </row>
    <row r="292" spans="1:14">
      <c r="A292">
        <v>10523</v>
      </c>
      <c r="B292" t="s">
        <v>1430</v>
      </c>
      <c r="C292">
        <v>7</v>
      </c>
      <c r="D292" s="213">
        <v>35551</v>
      </c>
      <c r="E292" s="213">
        <v>35579</v>
      </c>
      <c r="F292" s="213">
        <v>35580</v>
      </c>
      <c r="G292">
        <v>2</v>
      </c>
      <c r="H292">
        <v>77.63</v>
      </c>
      <c r="I292" t="s">
        <v>1431</v>
      </c>
      <c r="J292" t="s">
        <v>1432</v>
      </c>
      <c r="K292" t="s">
        <v>1319</v>
      </c>
      <c r="M292" t="s">
        <v>1433</v>
      </c>
      <c r="N292" t="s">
        <v>1321</v>
      </c>
    </row>
    <row r="293" spans="1:14">
      <c r="A293">
        <v>10524</v>
      </c>
      <c r="B293" t="s">
        <v>1289</v>
      </c>
      <c r="C293">
        <v>1</v>
      </c>
      <c r="D293" s="213">
        <v>35551</v>
      </c>
      <c r="E293" s="213">
        <v>35579</v>
      </c>
      <c r="F293" s="213">
        <v>35557</v>
      </c>
      <c r="G293">
        <v>2</v>
      </c>
      <c r="H293">
        <v>244.79</v>
      </c>
      <c r="I293" t="s">
        <v>1290</v>
      </c>
      <c r="J293" t="s">
        <v>1291</v>
      </c>
      <c r="K293" t="s">
        <v>1292</v>
      </c>
      <c r="M293" t="s">
        <v>1293</v>
      </c>
      <c r="N293" t="s">
        <v>829</v>
      </c>
    </row>
    <row r="294" spans="1:14">
      <c r="A294">
        <v>10525</v>
      </c>
      <c r="B294" t="s">
        <v>1392</v>
      </c>
      <c r="C294">
        <v>1</v>
      </c>
      <c r="D294" s="213">
        <v>35552</v>
      </c>
      <c r="E294" s="213">
        <v>35580</v>
      </c>
      <c r="F294" s="213">
        <v>35573</v>
      </c>
      <c r="G294">
        <v>2</v>
      </c>
      <c r="H294">
        <v>11.06</v>
      </c>
      <c r="I294" t="s">
        <v>1393</v>
      </c>
      <c r="J294" t="s">
        <v>1394</v>
      </c>
      <c r="K294" t="s">
        <v>1395</v>
      </c>
      <c r="M294">
        <v>13008</v>
      </c>
      <c r="N294" t="s">
        <v>824</v>
      </c>
    </row>
    <row r="295" spans="1:14">
      <c r="A295">
        <v>10526</v>
      </c>
      <c r="B295" t="s">
        <v>1251</v>
      </c>
      <c r="C295">
        <v>4</v>
      </c>
      <c r="D295" s="213">
        <v>35555</v>
      </c>
      <c r="E295" s="213">
        <v>35583</v>
      </c>
      <c r="F295" s="213">
        <v>35565</v>
      </c>
      <c r="G295">
        <v>2</v>
      </c>
      <c r="H295">
        <v>58.59</v>
      </c>
      <c r="I295" t="s">
        <v>1252</v>
      </c>
      <c r="J295" t="s">
        <v>1253</v>
      </c>
      <c r="K295" t="s">
        <v>1254</v>
      </c>
      <c r="M295">
        <v>90110</v>
      </c>
      <c r="N295" t="s">
        <v>1255</v>
      </c>
    </row>
    <row r="296" spans="1:14">
      <c r="A296">
        <v>10527</v>
      </c>
      <c r="B296" t="s">
        <v>1274</v>
      </c>
      <c r="C296">
        <v>7</v>
      </c>
      <c r="D296" s="213">
        <v>35555</v>
      </c>
      <c r="E296" s="213">
        <v>35583</v>
      </c>
      <c r="F296" s="213">
        <v>35557</v>
      </c>
      <c r="G296">
        <v>1</v>
      </c>
      <c r="H296">
        <v>41.9</v>
      </c>
      <c r="I296" t="s">
        <v>1275</v>
      </c>
      <c r="J296" t="s">
        <v>1276</v>
      </c>
      <c r="K296" t="s">
        <v>1277</v>
      </c>
      <c r="M296">
        <v>1307</v>
      </c>
      <c r="N296" t="s">
        <v>1184</v>
      </c>
    </row>
    <row r="297" spans="1:14">
      <c r="A297">
        <v>10528</v>
      </c>
      <c r="B297" t="s">
        <v>1531</v>
      </c>
      <c r="C297">
        <v>6</v>
      </c>
      <c r="D297" s="213">
        <v>35556</v>
      </c>
      <c r="E297" s="213">
        <v>35570</v>
      </c>
      <c r="F297" s="213">
        <v>35559</v>
      </c>
      <c r="G297">
        <v>2</v>
      </c>
      <c r="H297">
        <v>3.35</v>
      </c>
      <c r="I297" t="s">
        <v>1532</v>
      </c>
      <c r="J297" t="s">
        <v>1533</v>
      </c>
      <c r="K297" t="s">
        <v>1534</v>
      </c>
      <c r="L297" t="s">
        <v>1353</v>
      </c>
      <c r="M297">
        <v>97403</v>
      </c>
      <c r="N297" t="s">
        <v>1241</v>
      </c>
    </row>
    <row r="298" spans="1:14">
      <c r="A298">
        <v>10529</v>
      </c>
      <c r="B298" t="s">
        <v>1535</v>
      </c>
      <c r="C298">
        <v>5</v>
      </c>
      <c r="D298" s="213">
        <v>35557</v>
      </c>
      <c r="E298" s="213">
        <v>35585</v>
      </c>
      <c r="F298" s="213">
        <v>35559</v>
      </c>
      <c r="G298">
        <v>2</v>
      </c>
      <c r="H298">
        <v>66.69</v>
      </c>
      <c r="I298" t="s">
        <v>1536</v>
      </c>
      <c r="J298" t="s">
        <v>1537</v>
      </c>
      <c r="K298" t="s">
        <v>1538</v>
      </c>
      <c r="M298" t="s">
        <v>1539</v>
      </c>
      <c r="N298" t="s">
        <v>833</v>
      </c>
    </row>
    <row r="299" spans="1:14">
      <c r="A299">
        <v>10530</v>
      </c>
      <c r="B299" t="s">
        <v>1419</v>
      </c>
      <c r="C299">
        <v>3</v>
      </c>
      <c r="D299" s="213">
        <v>35558</v>
      </c>
      <c r="E299" s="213">
        <v>35586</v>
      </c>
      <c r="F299" s="213">
        <v>35562</v>
      </c>
      <c r="G299">
        <v>2</v>
      </c>
      <c r="H299">
        <v>339.22</v>
      </c>
      <c r="I299" t="s">
        <v>1420</v>
      </c>
      <c r="J299" t="s">
        <v>1421</v>
      </c>
      <c r="K299" t="s">
        <v>1422</v>
      </c>
      <c r="M299">
        <v>5020</v>
      </c>
      <c r="N299" t="s">
        <v>1222</v>
      </c>
    </row>
    <row r="300" spans="1:14">
      <c r="A300">
        <v>10531</v>
      </c>
      <c r="B300" t="s">
        <v>1488</v>
      </c>
      <c r="C300">
        <v>7</v>
      </c>
      <c r="D300" s="213">
        <v>35558</v>
      </c>
      <c r="E300" s="213">
        <v>35586</v>
      </c>
      <c r="F300" s="213">
        <v>35569</v>
      </c>
      <c r="G300">
        <v>1</v>
      </c>
      <c r="H300">
        <v>8.1199999999999992</v>
      </c>
      <c r="I300" t="s">
        <v>1489</v>
      </c>
      <c r="J300" t="s">
        <v>1490</v>
      </c>
    </row>
    <row r="301" spans="1:14">
      <c r="A301" t="s">
        <v>1491</v>
      </c>
      <c r="B301" t="s">
        <v>1492</v>
      </c>
      <c r="D301">
        <v>1010</v>
      </c>
      <c r="E301" t="s">
        <v>1493</v>
      </c>
    </row>
    <row r="302" spans="1:14">
      <c r="A302">
        <v>10532</v>
      </c>
      <c r="B302" t="s">
        <v>1438</v>
      </c>
      <c r="C302">
        <v>7</v>
      </c>
      <c r="D302" s="213">
        <v>35559</v>
      </c>
      <c r="E302" s="213">
        <v>35587</v>
      </c>
      <c r="F302" s="213">
        <v>35562</v>
      </c>
      <c r="G302">
        <v>3</v>
      </c>
      <c r="H302">
        <v>74.459999999999994</v>
      </c>
      <c r="I302" t="s">
        <v>1439</v>
      </c>
      <c r="J302" t="s">
        <v>1440</v>
      </c>
      <c r="K302" t="s">
        <v>1319</v>
      </c>
      <c r="M302" t="s">
        <v>1441</v>
      </c>
      <c r="N302" t="s">
        <v>1321</v>
      </c>
    </row>
    <row r="303" spans="1:14">
      <c r="A303">
        <v>10533</v>
      </c>
      <c r="B303" t="s">
        <v>1242</v>
      </c>
      <c r="C303">
        <v>8</v>
      </c>
      <c r="D303" s="213">
        <v>35562</v>
      </c>
      <c r="E303" s="213">
        <v>35590</v>
      </c>
      <c r="F303" s="213">
        <v>35572</v>
      </c>
      <c r="G303">
        <v>1</v>
      </c>
      <c r="H303">
        <v>188.04</v>
      </c>
      <c r="I303" t="s">
        <v>1243</v>
      </c>
      <c r="J303" t="s">
        <v>1244</v>
      </c>
      <c r="K303" t="s">
        <v>1245</v>
      </c>
      <c r="M303" t="s">
        <v>1246</v>
      </c>
      <c r="N303" t="s">
        <v>829</v>
      </c>
    </row>
    <row r="304" spans="1:14">
      <c r="A304">
        <v>10534</v>
      </c>
      <c r="B304" t="s">
        <v>1294</v>
      </c>
      <c r="C304">
        <v>8</v>
      </c>
      <c r="D304" s="213">
        <v>35562</v>
      </c>
      <c r="E304" s="213">
        <v>35590</v>
      </c>
      <c r="F304" s="213">
        <v>35564</v>
      </c>
      <c r="G304">
        <v>2</v>
      </c>
      <c r="H304">
        <v>27.94</v>
      </c>
      <c r="I304" t="s">
        <v>1295</v>
      </c>
      <c r="J304" t="s">
        <v>1296</v>
      </c>
      <c r="K304" t="s">
        <v>1297</v>
      </c>
      <c r="M304">
        <v>60528</v>
      </c>
      <c r="N304" t="s">
        <v>1184</v>
      </c>
    </row>
    <row r="305" spans="1:14">
      <c r="A305">
        <v>10535</v>
      </c>
      <c r="B305" t="s">
        <v>1442</v>
      </c>
      <c r="C305">
        <v>4</v>
      </c>
      <c r="D305" s="213">
        <v>35563</v>
      </c>
      <c r="E305" s="213">
        <v>35591</v>
      </c>
      <c r="F305" s="213">
        <v>35571</v>
      </c>
      <c r="G305">
        <v>1</v>
      </c>
      <c r="H305">
        <v>15.64</v>
      </c>
      <c r="I305" t="s">
        <v>1443</v>
      </c>
      <c r="J305" t="s">
        <v>1444</v>
      </c>
      <c r="K305" t="s">
        <v>1226</v>
      </c>
      <c r="M305">
        <v>5023</v>
      </c>
      <c r="N305" t="s">
        <v>1227</v>
      </c>
    </row>
    <row r="306" spans="1:14">
      <c r="A306">
        <v>10536</v>
      </c>
      <c r="B306" t="s">
        <v>1294</v>
      </c>
      <c r="C306">
        <v>3</v>
      </c>
      <c r="D306" s="213">
        <v>35564</v>
      </c>
      <c r="E306" s="213">
        <v>35592</v>
      </c>
      <c r="F306" s="213">
        <v>35587</v>
      </c>
      <c r="G306">
        <v>2</v>
      </c>
      <c r="H306">
        <v>58.88</v>
      </c>
      <c r="I306" t="s">
        <v>1295</v>
      </c>
      <c r="J306" t="s">
        <v>1296</v>
      </c>
      <c r="K306" t="s">
        <v>1297</v>
      </c>
      <c r="M306">
        <v>60528</v>
      </c>
      <c r="N306" t="s">
        <v>1184</v>
      </c>
    </row>
    <row r="307" spans="1:14">
      <c r="A307">
        <v>10537</v>
      </c>
      <c r="B307" t="s">
        <v>1203</v>
      </c>
      <c r="C307">
        <v>1</v>
      </c>
      <c r="D307" s="213">
        <v>35564</v>
      </c>
      <c r="E307" s="213">
        <v>35578</v>
      </c>
      <c r="F307" s="213">
        <v>35569</v>
      </c>
      <c r="G307">
        <v>1</v>
      </c>
      <c r="H307">
        <v>78.849999999999994</v>
      </c>
      <c r="I307" t="s">
        <v>1204</v>
      </c>
      <c r="J307" t="s">
        <v>1205</v>
      </c>
      <c r="K307" t="s">
        <v>1206</v>
      </c>
      <c r="M307">
        <v>1204</v>
      </c>
      <c r="N307" t="s">
        <v>1202</v>
      </c>
    </row>
    <row r="308" spans="1:14">
      <c r="A308">
        <v>10538</v>
      </c>
      <c r="B308" t="s">
        <v>1316</v>
      </c>
      <c r="C308">
        <v>9</v>
      </c>
      <c r="D308" s="213">
        <v>35565</v>
      </c>
      <c r="E308" s="213">
        <v>35593</v>
      </c>
      <c r="F308" s="213">
        <v>35566</v>
      </c>
      <c r="G308">
        <v>3</v>
      </c>
      <c r="H308">
        <v>4.87</v>
      </c>
      <c r="I308" t="s">
        <v>1317</v>
      </c>
      <c r="J308" t="s">
        <v>1318</v>
      </c>
      <c r="K308" t="s">
        <v>1319</v>
      </c>
      <c r="M308" t="s">
        <v>1320</v>
      </c>
      <c r="N308" t="s">
        <v>1321</v>
      </c>
    </row>
    <row r="309" spans="1:14">
      <c r="A309">
        <v>10539</v>
      </c>
      <c r="B309" t="s">
        <v>1316</v>
      </c>
      <c r="C309">
        <v>6</v>
      </c>
      <c r="D309" s="213">
        <v>35566</v>
      </c>
      <c r="E309" s="213">
        <v>35594</v>
      </c>
      <c r="F309" s="213">
        <v>35573</v>
      </c>
      <c r="G309">
        <v>3</v>
      </c>
      <c r="H309">
        <v>12.36</v>
      </c>
      <c r="I309" t="s">
        <v>1317</v>
      </c>
      <c r="J309" t="s">
        <v>1318</v>
      </c>
      <c r="K309" t="s">
        <v>1319</v>
      </c>
      <c r="M309" t="s">
        <v>1320</v>
      </c>
      <c r="N309" t="s">
        <v>1321</v>
      </c>
    </row>
    <row r="310" spans="1:14">
      <c r="A310">
        <v>10540</v>
      </c>
      <c r="B310" t="s">
        <v>1274</v>
      </c>
      <c r="C310">
        <v>3</v>
      </c>
      <c r="D310" s="213">
        <v>35569</v>
      </c>
      <c r="E310" s="213">
        <v>35597</v>
      </c>
      <c r="F310" s="213">
        <v>35594</v>
      </c>
      <c r="G310">
        <v>3</v>
      </c>
      <c r="H310" s="214">
        <v>1007.64</v>
      </c>
      <c r="I310" t="s">
        <v>1275</v>
      </c>
      <c r="J310" t="s">
        <v>1276</v>
      </c>
      <c r="K310" t="s">
        <v>1277</v>
      </c>
      <c r="M310">
        <v>1307</v>
      </c>
      <c r="N310" t="s">
        <v>1184</v>
      </c>
    </row>
    <row r="311" spans="1:14">
      <c r="A311">
        <v>10541</v>
      </c>
      <c r="B311" t="s">
        <v>1185</v>
      </c>
      <c r="C311">
        <v>2</v>
      </c>
      <c r="D311" s="213">
        <v>35569</v>
      </c>
      <c r="E311" s="213">
        <v>35597</v>
      </c>
      <c r="F311" s="213">
        <v>35579</v>
      </c>
      <c r="G311">
        <v>1</v>
      </c>
      <c r="H311">
        <v>68.650000000000006</v>
      </c>
      <c r="I311" t="s">
        <v>1186</v>
      </c>
      <c r="J311" t="s">
        <v>1187</v>
      </c>
      <c r="K311" t="s">
        <v>1158</v>
      </c>
      <c r="L311" t="s">
        <v>57</v>
      </c>
      <c r="M311" t="s">
        <v>1188</v>
      </c>
      <c r="N311" t="s">
        <v>831</v>
      </c>
    </row>
    <row r="312" spans="1:14">
      <c r="A312">
        <v>10542</v>
      </c>
      <c r="B312" t="s">
        <v>1375</v>
      </c>
      <c r="C312">
        <v>1</v>
      </c>
      <c r="D312" s="213">
        <v>35570</v>
      </c>
      <c r="E312" s="213">
        <v>35598</v>
      </c>
      <c r="F312" s="213">
        <v>35576</v>
      </c>
      <c r="G312">
        <v>3</v>
      </c>
      <c r="H312">
        <v>10.95</v>
      </c>
      <c r="I312" t="s">
        <v>1376</v>
      </c>
      <c r="J312" t="s">
        <v>1377</v>
      </c>
      <c r="K312" t="s">
        <v>1378</v>
      </c>
      <c r="M312">
        <v>14776</v>
      </c>
      <c r="N312" t="s">
        <v>1184</v>
      </c>
    </row>
    <row r="313" spans="1:14">
      <c r="A313">
        <v>10543</v>
      </c>
      <c r="B313" t="s">
        <v>1303</v>
      </c>
      <c r="C313">
        <v>8</v>
      </c>
      <c r="D313" s="213">
        <v>35571</v>
      </c>
      <c r="E313" s="213">
        <v>35599</v>
      </c>
      <c r="F313" s="213">
        <v>35573</v>
      </c>
      <c r="G313">
        <v>2</v>
      </c>
      <c r="H313">
        <v>48.17</v>
      </c>
      <c r="I313" t="s">
        <v>1304</v>
      </c>
      <c r="J313" t="s">
        <v>1305</v>
      </c>
      <c r="K313" t="s">
        <v>1306</v>
      </c>
      <c r="L313" t="s">
        <v>1307</v>
      </c>
      <c r="M313">
        <v>3508</v>
      </c>
      <c r="N313" t="s">
        <v>1217</v>
      </c>
    </row>
    <row r="314" spans="1:14">
      <c r="A314">
        <v>10544</v>
      </c>
      <c r="B314" t="s">
        <v>1349</v>
      </c>
      <c r="C314">
        <v>4</v>
      </c>
      <c r="D314" s="213">
        <v>35571</v>
      </c>
      <c r="E314" s="213">
        <v>35599</v>
      </c>
      <c r="F314" s="213">
        <v>35580</v>
      </c>
      <c r="G314">
        <v>1</v>
      </c>
      <c r="H314">
        <v>24.91</v>
      </c>
      <c r="I314" t="s">
        <v>1350</v>
      </c>
      <c r="J314" t="s">
        <v>1351</v>
      </c>
      <c r="K314" t="s">
        <v>1352</v>
      </c>
      <c r="L314" t="s">
        <v>1353</v>
      </c>
      <c r="M314">
        <v>97219</v>
      </c>
      <c r="N314" t="s">
        <v>1241</v>
      </c>
    </row>
    <row r="315" spans="1:14">
      <c r="A315">
        <v>10545</v>
      </c>
      <c r="B315" t="s">
        <v>1510</v>
      </c>
      <c r="C315">
        <v>8</v>
      </c>
      <c r="D315" s="213">
        <v>35572</v>
      </c>
      <c r="E315" s="213">
        <v>35600</v>
      </c>
      <c r="F315" s="213">
        <v>35607</v>
      </c>
      <c r="G315">
        <v>2</v>
      </c>
      <c r="H315">
        <v>11.92</v>
      </c>
      <c r="I315" t="s">
        <v>1511</v>
      </c>
      <c r="J315" t="s">
        <v>1512</v>
      </c>
      <c r="K315" t="s">
        <v>1513</v>
      </c>
      <c r="L315" t="s">
        <v>1268</v>
      </c>
      <c r="M315">
        <v>99362</v>
      </c>
      <c r="N315" t="s">
        <v>1241</v>
      </c>
    </row>
    <row r="316" spans="1:14">
      <c r="A316">
        <v>10546</v>
      </c>
      <c r="B316" t="s">
        <v>1189</v>
      </c>
      <c r="C316">
        <v>1</v>
      </c>
      <c r="D316" s="213">
        <v>35573</v>
      </c>
      <c r="E316" s="213">
        <v>35601</v>
      </c>
      <c r="F316" s="213">
        <v>35577</v>
      </c>
      <c r="G316">
        <v>3</v>
      </c>
      <c r="H316">
        <v>194.72</v>
      </c>
      <c r="I316" t="s">
        <v>1190</v>
      </c>
      <c r="J316" t="s">
        <v>1191</v>
      </c>
      <c r="K316" t="s">
        <v>1192</v>
      </c>
      <c r="M316">
        <v>69004</v>
      </c>
      <c r="N316" t="s">
        <v>824</v>
      </c>
    </row>
    <row r="317" spans="1:14">
      <c r="A317">
        <v>10547</v>
      </c>
      <c r="B317" t="s">
        <v>1430</v>
      </c>
      <c r="C317">
        <v>3</v>
      </c>
      <c r="D317" s="213">
        <v>35573</v>
      </c>
      <c r="E317" s="213">
        <v>35601</v>
      </c>
      <c r="F317" s="213">
        <v>35583</v>
      </c>
      <c r="G317">
        <v>2</v>
      </c>
      <c r="H317">
        <v>178.43</v>
      </c>
      <c r="I317" t="s">
        <v>1431</v>
      </c>
      <c r="J317" t="s">
        <v>1432</v>
      </c>
      <c r="K317" t="s">
        <v>1319</v>
      </c>
      <c r="M317" t="s">
        <v>1433</v>
      </c>
      <c r="N317" t="s">
        <v>1321</v>
      </c>
    </row>
    <row r="318" spans="1:14">
      <c r="A318">
        <v>10548</v>
      </c>
      <c r="B318" t="s">
        <v>1180</v>
      </c>
      <c r="C318">
        <v>3</v>
      </c>
      <c r="D318" s="213">
        <v>35576</v>
      </c>
      <c r="E318" s="213">
        <v>35604</v>
      </c>
      <c r="F318" s="213">
        <v>35583</v>
      </c>
      <c r="G318">
        <v>2</v>
      </c>
      <c r="H318">
        <v>1.43</v>
      </c>
      <c r="I318" t="s">
        <v>1181</v>
      </c>
      <c r="J318" t="s">
        <v>1182</v>
      </c>
      <c r="K318" t="s">
        <v>1183</v>
      </c>
      <c r="M318">
        <v>44087</v>
      </c>
      <c r="N318" t="s">
        <v>1184</v>
      </c>
    </row>
    <row r="319" spans="1:14">
      <c r="A319">
        <v>10549</v>
      </c>
      <c r="B319" t="s">
        <v>1274</v>
      </c>
      <c r="C319">
        <v>5</v>
      </c>
      <c r="D319" s="213">
        <v>35577</v>
      </c>
      <c r="E319" s="213">
        <v>35591</v>
      </c>
      <c r="F319" s="213">
        <v>35580</v>
      </c>
      <c r="G319">
        <v>1</v>
      </c>
      <c r="H319">
        <v>171.24</v>
      </c>
      <c r="I319" t="s">
        <v>1275</v>
      </c>
      <c r="J319" t="s">
        <v>1276</v>
      </c>
      <c r="K319" t="s">
        <v>1277</v>
      </c>
      <c r="M319">
        <v>1307</v>
      </c>
      <c r="N319" t="s">
        <v>1184</v>
      </c>
    </row>
    <row r="320" spans="1:14">
      <c r="A320">
        <v>10550</v>
      </c>
      <c r="B320" t="s">
        <v>1340</v>
      </c>
      <c r="C320">
        <v>7</v>
      </c>
      <c r="D320" s="213">
        <v>35578</v>
      </c>
      <c r="E320" s="213">
        <v>35606</v>
      </c>
      <c r="F320" s="213">
        <v>35587</v>
      </c>
      <c r="G320">
        <v>3</v>
      </c>
      <c r="H320">
        <v>4.32</v>
      </c>
      <c r="I320" t="s">
        <v>1341</v>
      </c>
      <c r="J320" t="s">
        <v>1342</v>
      </c>
      <c r="K320" t="s">
        <v>1343</v>
      </c>
      <c r="M320">
        <v>41101</v>
      </c>
      <c r="N320" t="s">
        <v>1302</v>
      </c>
    </row>
    <row r="321" spans="1:14">
      <c r="A321">
        <v>10551</v>
      </c>
      <c r="B321" t="s">
        <v>1387</v>
      </c>
      <c r="C321">
        <v>4</v>
      </c>
      <c r="D321" s="213">
        <v>35578</v>
      </c>
      <c r="E321" s="213">
        <v>35620</v>
      </c>
      <c r="F321" s="213">
        <v>35587</v>
      </c>
      <c r="G321">
        <v>3</v>
      </c>
      <c r="H321">
        <v>72.95</v>
      </c>
      <c r="I321" t="s">
        <v>1388</v>
      </c>
      <c r="J321" t="s">
        <v>1389</v>
      </c>
      <c r="K321" t="s">
        <v>1390</v>
      </c>
      <c r="M321">
        <v>1675</v>
      </c>
      <c r="N321" t="s">
        <v>1391</v>
      </c>
    </row>
    <row r="322" spans="1:14">
      <c r="A322">
        <v>10552</v>
      </c>
      <c r="B322" t="s">
        <v>1212</v>
      </c>
      <c r="C322">
        <v>2</v>
      </c>
      <c r="D322" s="213">
        <v>35579</v>
      </c>
      <c r="E322" s="213">
        <v>35607</v>
      </c>
      <c r="F322" s="213">
        <v>35586</v>
      </c>
      <c r="G322">
        <v>1</v>
      </c>
      <c r="H322">
        <v>83.22</v>
      </c>
      <c r="I322" t="s">
        <v>1213</v>
      </c>
      <c r="J322" t="s">
        <v>1214</v>
      </c>
      <c r="K322" t="s">
        <v>1215</v>
      </c>
      <c r="L322" t="s">
        <v>1216</v>
      </c>
      <c r="M322">
        <v>5022</v>
      </c>
      <c r="N322" t="s">
        <v>1217</v>
      </c>
    </row>
    <row r="323" spans="1:14">
      <c r="A323">
        <v>10553</v>
      </c>
      <c r="B323" t="s">
        <v>1251</v>
      </c>
      <c r="C323">
        <v>2</v>
      </c>
      <c r="D323" s="213">
        <v>35580</v>
      </c>
      <c r="E323" s="213">
        <v>35608</v>
      </c>
      <c r="F323" s="213">
        <v>35584</v>
      </c>
      <c r="G323">
        <v>2</v>
      </c>
      <c r="H323">
        <v>149.49</v>
      </c>
      <c r="I323" t="s">
        <v>1252</v>
      </c>
      <c r="J323" t="s">
        <v>1253</v>
      </c>
      <c r="K323" t="s">
        <v>1254</v>
      </c>
      <c r="M323">
        <v>90110</v>
      </c>
      <c r="N323" t="s">
        <v>1255</v>
      </c>
    </row>
    <row r="324" spans="1:14">
      <c r="A324">
        <v>10554</v>
      </c>
      <c r="B324" t="s">
        <v>1228</v>
      </c>
      <c r="C324">
        <v>4</v>
      </c>
      <c r="D324" s="213">
        <v>35580</v>
      </c>
      <c r="E324" s="213">
        <v>35608</v>
      </c>
      <c r="F324" s="213">
        <v>35586</v>
      </c>
      <c r="G324">
        <v>3</v>
      </c>
      <c r="H324">
        <v>120.97</v>
      </c>
      <c r="I324" t="s">
        <v>1229</v>
      </c>
      <c r="J324" t="s">
        <v>1230</v>
      </c>
      <c r="K324" t="s">
        <v>1231</v>
      </c>
      <c r="M324">
        <v>50739</v>
      </c>
      <c r="N324" t="s">
        <v>1184</v>
      </c>
    </row>
    <row r="325" spans="1:14">
      <c r="A325">
        <v>10555</v>
      </c>
      <c r="B325" t="s">
        <v>1379</v>
      </c>
      <c r="C325">
        <v>6</v>
      </c>
      <c r="D325" s="213">
        <v>35583</v>
      </c>
      <c r="E325" s="213">
        <v>35611</v>
      </c>
      <c r="F325" s="213">
        <v>35585</v>
      </c>
      <c r="G325">
        <v>3</v>
      </c>
      <c r="H325">
        <v>252.49</v>
      </c>
      <c r="I325" t="s">
        <v>1380</v>
      </c>
      <c r="J325" t="s">
        <v>1381</v>
      </c>
      <c r="K325" t="s">
        <v>1382</v>
      </c>
      <c r="L325" t="s">
        <v>1383</v>
      </c>
      <c r="M325">
        <v>83720</v>
      </c>
      <c r="N325" t="s">
        <v>1241</v>
      </c>
    </row>
    <row r="326" spans="1:14">
      <c r="A326">
        <v>10556</v>
      </c>
      <c r="B326" t="s">
        <v>1406</v>
      </c>
      <c r="C326">
        <v>2</v>
      </c>
      <c r="D326" s="213">
        <v>35584</v>
      </c>
      <c r="E326" s="213">
        <v>35626</v>
      </c>
      <c r="F326" s="213">
        <v>35594</v>
      </c>
      <c r="G326">
        <v>1</v>
      </c>
      <c r="H326">
        <v>9.8000000000000007</v>
      </c>
      <c r="I326" t="s">
        <v>1407</v>
      </c>
      <c r="J326" t="s">
        <v>1408</v>
      </c>
      <c r="K326" t="s">
        <v>1409</v>
      </c>
      <c r="M326">
        <v>1734</v>
      </c>
      <c r="N326" t="s">
        <v>1410</v>
      </c>
    </row>
    <row r="327" spans="1:14">
      <c r="A327">
        <v>10557</v>
      </c>
      <c r="B327" t="s">
        <v>1294</v>
      </c>
      <c r="C327">
        <v>9</v>
      </c>
      <c r="D327" s="213">
        <v>35584</v>
      </c>
      <c r="E327" s="213">
        <v>35598</v>
      </c>
      <c r="F327" s="213">
        <v>35587</v>
      </c>
      <c r="G327">
        <v>2</v>
      </c>
      <c r="H327">
        <v>96.72</v>
      </c>
      <c r="I327" t="s">
        <v>1295</v>
      </c>
      <c r="J327" t="s">
        <v>1296</v>
      </c>
      <c r="K327" t="s">
        <v>1297</v>
      </c>
      <c r="M327">
        <v>60528</v>
      </c>
      <c r="N327" t="s">
        <v>1184</v>
      </c>
    </row>
    <row r="328" spans="1:14">
      <c r="A328">
        <v>10558</v>
      </c>
      <c r="B328" t="s">
        <v>1423</v>
      </c>
      <c r="C328">
        <v>1</v>
      </c>
      <c r="D328" s="213">
        <v>35585</v>
      </c>
      <c r="E328" s="213">
        <v>35613</v>
      </c>
      <c r="F328" s="213">
        <v>35591</v>
      </c>
      <c r="G328">
        <v>2</v>
      </c>
      <c r="H328">
        <v>72.97</v>
      </c>
      <c r="I328" t="s">
        <v>1424</v>
      </c>
      <c r="J328" t="s">
        <v>1425</v>
      </c>
    </row>
    <row r="329" spans="1:14">
      <c r="A329" t="s">
        <v>1426</v>
      </c>
      <c r="B329" t="s">
        <v>1427</v>
      </c>
      <c r="C329" t="s">
        <v>1428</v>
      </c>
      <c r="D329" t="s">
        <v>1429</v>
      </c>
      <c r="E329" t="s">
        <v>1321</v>
      </c>
    </row>
    <row r="330" spans="1:14">
      <c r="A330">
        <v>10559</v>
      </c>
      <c r="B330" t="s">
        <v>1247</v>
      </c>
      <c r="C330">
        <v>6</v>
      </c>
      <c r="D330" s="213">
        <v>35586</v>
      </c>
      <c r="E330" s="213">
        <v>35614</v>
      </c>
      <c r="F330" s="213">
        <v>35594</v>
      </c>
      <c r="G330">
        <v>1</v>
      </c>
      <c r="H330">
        <v>8.0500000000000007</v>
      </c>
      <c r="I330" t="s">
        <v>1248</v>
      </c>
      <c r="J330" t="s">
        <v>1249</v>
      </c>
      <c r="K330" t="s">
        <v>1250</v>
      </c>
      <c r="M330">
        <v>67000</v>
      </c>
      <c r="N330" t="s">
        <v>824</v>
      </c>
    </row>
    <row r="331" spans="1:14">
      <c r="A331">
        <v>10560</v>
      </c>
      <c r="B331" t="s">
        <v>1256</v>
      </c>
      <c r="C331">
        <v>8</v>
      </c>
      <c r="D331" s="213">
        <v>35587</v>
      </c>
      <c r="E331" s="213">
        <v>35615</v>
      </c>
      <c r="F331" s="213">
        <v>35590</v>
      </c>
      <c r="G331">
        <v>1</v>
      </c>
      <c r="H331">
        <v>36.65</v>
      </c>
      <c r="I331" t="s">
        <v>1257</v>
      </c>
      <c r="J331" t="s">
        <v>1258</v>
      </c>
      <c r="K331" t="s">
        <v>1259</v>
      </c>
      <c r="M331">
        <v>80805</v>
      </c>
      <c r="N331" t="s">
        <v>1184</v>
      </c>
    </row>
    <row r="332" spans="1:14">
      <c r="A332">
        <v>10561</v>
      </c>
      <c r="B332" t="s">
        <v>1242</v>
      </c>
      <c r="C332">
        <v>2</v>
      </c>
      <c r="D332" s="213">
        <v>35587</v>
      </c>
      <c r="E332" s="213">
        <v>35615</v>
      </c>
      <c r="F332" s="213">
        <v>35590</v>
      </c>
      <c r="G332">
        <v>2</v>
      </c>
      <c r="H332">
        <v>242.21</v>
      </c>
      <c r="I332" t="s">
        <v>1243</v>
      </c>
      <c r="J332" t="s">
        <v>1244</v>
      </c>
      <c r="K332" t="s">
        <v>1245</v>
      </c>
      <c r="M332" t="s">
        <v>1246</v>
      </c>
      <c r="N332" t="s">
        <v>829</v>
      </c>
    </row>
    <row r="333" spans="1:14">
      <c r="A333">
        <v>10562</v>
      </c>
      <c r="B333" t="s">
        <v>1312</v>
      </c>
      <c r="C333">
        <v>1</v>
      </c>
      <c r="D333" s="213">
        <v>35590</v>
      </c>
      <c r="E333" s="213">
        <v>35618</v>
      </c>
      <c r="F333" s="213">
        <v>35593</v>
      </c>
      <c r="G333">
        <v>1</v>
      </c>
      <c r="H333">
        <v>22.95</v>
      </c>
      <c r="I333" t="s">
        <v>1313</v>
      </c>
      <c r="J333" t="s">
        <v>1314</v>
      </c>
      <c r="K333" t="s">
        <v>1315</v>
      </c>
      <c r="M333">
        <v>42100</v>
      </c>
      <c r="N333" t="s">
        <v>827</v>
      </c>
    </row>
    <row r="334" spans="1:14">
      <c r="A334">
        <v>10563</v>
      </c>
      <c r="B334" t="s">
        <v>1308</v>
      </c>
      <c r="C334">
        <v>2</v>
      </c>
      <c r="D334" s="213">
        <v>35591</v>
      </c>
      <c r="E334" s="213">
        <v>35633</v>
      </c>
      <c r="F334" s="213">
        <v>35605</v>
      </c>
      <c r="G334">
        <v>2</v>
      </c>
      <c r="H334">
        <v>60.43</v>
      </c>
      <c r="I334" t="s">
        <v>1309</v>
      </c>
      <c r="J334" t="s">
        <v>1310</v>
      </c>
      <c r="K334" t="s">
        <v>1158</v>
      </c>
      <c r="L334" t="s">
        <v>57</v>
      </c>
      <c r="M334" t="s">
        <v>1311</v>
      </c>
      <c r="N334" t="s">
        <v>831</v>
      </c>
    </row>
    <row r="335" spans="1:14">
      <c r="A335">
        <v>10564</v>
      </c>
      <c r="B335" t="s">
        <v>1236</v>
      </c>
      <c r="C335">
        <v>4</v>
      </c>
      <c r="D335" s="213">
        <v>35591</v>
      </c>
      <c r="E335" s="213">
        <v>35619</v>
      </c>
      <c r="F335" s="213">
        <v>35597</v>
      </c>
      <c r="G335">
        <v>3</v>
      </c>
      <c r="H335">
        <v>13.75</v>
      </c>
      <c r="I335" t="s">
        <v>1237</v>
      </c>
      <c r="J335" t="s">
        <v>1238</v>
      </c>
      <c r="K335" t="s">
        <v>1239</v>
      </c>
      <c r="L335" t="s">
        <v>1240</v>
      </c>
      <c r="M335">
        <v>87110</v>
      </c>
      <c r="N335" t="s">
        <v>1241</v>
      </c>
    </row>
    <row r="336" spans="1:14">
      <c r="A336">
        <v>10565</v>
      </c>
      <c r="B336" t="s">
        <v>1396</v>
      </c>
      <c r="C336">
        <v>8</v>
      </c>
      <c r="D336" s="213">
        <v>35592</v>
      </c>
      <c r="E336" s="213">
        <v>35620</v>
      </c>
      <c r="F336" s="213">
        <v>35599</v>
      </c>
      <c r="G336">
        <v>2</v>
      </c>
      <c r="H336">
        <v>7.15</v>
      </c>
      <c r="I336" t="s">
        <v>1397</v>
      </c>
      <c r="J336" t="s">
        <v>1398</v>
      </c>
      <c r="K336" t="s">
        <v>1399</v>
      </c>
      <c r="L336" t="s">
        <v>1400</v>
      </c>
      <c r="M336" t="s">
        <v>1401</v>
      </c>
      <c r="N336" t="s">
        <v>1402</v>
      </c>
    </row>
    <row r="337" spans="1:14">
      <c r="A337">
        <v>10566</v>
      </c>
      <c r="B337" t="s">
        <v>1247</v>
      </c>
      <c r="C337">
        <v>9</v>
      </c>
      <c r="D337" s="213">
        <v>35593</v>
      </c>
      <c r="E337" s="213">
        <v>35621</v>
      </c>
      <c r="F337" s="213">
        <v>35599</v>
      </c>
      <c r="G337">
        <v>1</v>
      </c>
      <c r="H337">
        <v>88.4</v>
      </c>
      <c r="I337" t="s">
        <v>1248</v>
      </c>
      <c r="J337" t="s">
        <v>1249</v>
      </c>
      <c r="K337" t="s">
        <v>1250</v>
      </c>
      <c r="M337">
        <v>67000</v>
      </c>
      <c r="N337" t="s">
        <v>824</v>
      </c>
    </row>
    <row r="338" spans="1:14">
      <c r="A338">
        <v>10567</v>
      </c>
      <c r="B338" t="s">
        <v>1330</v>
      </c>
      <c r="C338">
        <v>1</v>
      </c>
      <c r="D338" s="213">
        <v>35593</v>
      </c>
      <c r="E338" s="213">
        <v>35621</v>
      </c>
      <c r="F338" s="213">
        <v>35598</v>
      </c>
      <c r="G338">
        <v>1</v>
      </c>
      <c r="H338">
        <v>33.97</v>
      </c>
      <c r="I338" t="s">
        <v>1331</v>
      </c>
      <c r="J338" t="s">
        <v>1332</v>
      </c>
      <c r="K338" t="s">
        <v>1333</v>
      </c>
      <c r="L338" t="s">
        <v>1334</v>
      </c>
      <c r="N338" t="s">
        <v>1335</v>
      </c>
    </row>
    <row r="339" spans="1:14">
      <c r="A339">
        <v>10568</v>
      </c>
      <c r="B339" t="s">
        <v>1445</v>
      </c>
      <c r="C339">
        <v>3</v>
      </c>
      <c r="D339" s="213">
        <v>35594</v>
      </c>
      <c r="E339" s="213">
        <v>35622</v>
      </c>
      <c r="F339" s="213">
        <v>35620</v>
      </c>
      <c r="G339">
        <v>3</v>
      </c>
      <c r="H339">
        <v>6.54</v>
      </c>
      <c r="I339" t="s">
        <v>1446</v>
      </c>
      <c r="J339" t="s">
        <v>1447</v>
      </c>
      <c r="K339" t="s">
        <v>1448</v>
      </c>
      <c r="M339">
        <v>8022</v>
      </c>
      <c r="N339" t="s">
        <v>1302</v>
      </c>
    </row>
    <row r="340" spans="1:14">
      <c r="A340">
        <v>10569</v>
      </c>
      <c r="B340" t="s">
        <v>1236</v>
      </c>
      <c r="C340">
        <v>5</v>
      </c>
      <c r="D340" s="213">
        <v>35597</v>
      </c>
      <c r="E340" s="213">
        <v>35625</v>
      </c>
      <c r="F340" s="213">
        <v>35622</v>
      </c>
      <c r="G340">
        <v>1</v>
      </c>
      <c r="H340">
        <v>58.98</v>
      </c>
      <c r="I340" t="s">
        <v>1237</v>
      </c>
      <c r="J340" t="s">
        <v>1238</v>
      </c>
      <c r="K340" t="s">
        <v>1239</v>
      </c>
      <c r="L340" t="s">
        <v>1240</v>
      </c>
      <c r="M340">
        <v>87110</v>
      </c>
      <c r="N340" t="s">
        <v>1241</v>
      </c>
    </row>
    <row r="341" spans="1:14">
      <c r="A341">
        <v>10570</v>
      </c>
      <c r="B341" t="s">
        <v>1396</v>
      </c>
      <c r="C341">
        <v>3</v>
      </c>
      <c r="D341" s="213">
        <v>35598</v>
      </c>
      <c r="E341" s="213">
        <v>35626</v>
      </c>
      <c r="F341" s="213">
        <v>35600</v>
      </c>
      <c r="G341">
        <v>3</v>
      </c>
      <c r="H341">
        <v>188.99</v>
      </c>
      <c r="I341" t="s">
        <v>1397</v>
      </c>
      <c r="J341" t="s">
        <v>1398</v>
      </c>
      <c r="K341" t="s">
        <v>1399</v>
      </c>
      <c r="L341" t="s">
        <v>1400</v>
      </c>
      <c r="M341" t="s">
        <v>1401</v>
      </c>
      <c r="N341" t="s">
        <v>1402</v>
      </c>
    </row>
    <row r="342" spans="1:14">
      <c r="A342">
        <v>10571</v>
      </c>
      <c r="B342" t="s">
        <v>1218</v>
      </c>
      <c r="C342">
        <v>8</v>
      </c>
      <c r="D342" s="213">
        <v>35598</v>
      </c>
      <c r="E342" s="213">
        <v>35640</v>
      </c>
      <c r="F342" s="213">
        <v>35615</v>
      </c>
      <c r="G342">
        <v>3</v>
      </c>
      <c r="H342">
        <v>26.06</v>
      </c>
      <c r="I342" t="s">
        <v>1219</v>
      </c>
      <c r="J342" t="s">
        <v>1220</v>
      </c>
      <c r="K342" t="s">
        <v>1221</v>
      </c>
      <c r="M342">
        <v>8010</v>
      </c>
      <c r="N342" t="s">
        <v>1222</v>
      </c>
    </row>
    <row r="343" spans="1:14">
      <c r="A343">
        <v>10572</v>
      </c>
      <c r="B343" t="s">
        <v>1289</v>
      </c>
      <c r="C343">
        <v>3</v>
      </c>
      <c r="D343" s="213">
        <v>35599</v>
      </c>
      <c r="E343" s="213">
        <v>35627</v>
      </c>
      <c r="F343" s="213">
        <v>35606</v>
      </c>
      <c r="G343">
        <v>2</v>
      </c>
      <c r="H343">
        <v>116.43</v>
      </c>
      <c r="I343" t="s">
        <v>1290</v>
      </c>
      <c r="J343" t="s">
        <v>1291</v>
      </c>
      <c r="K343" t="s">
        <v>1292</v>
      </c>
      <c r="M343" t="s">
        <v>1293</v>
      </c>
      <c r="N343" t="s">
        <v>829</v>
      </c>
    </row>
    <row r="344" spans="1:14">
      <c r="A344">
        <v>10573</v>
      </c>
      <c r="B344" t="s">
        <v>1442</v>
      </c>
      <c r="C344">
        <v>7</v>
      </c>
      <c r="D344" s="213">
        <v>35600</v>
      </c>
      <c r="E344" s="213">
        <v>35628</v>
      </c>
      <c r="F344" s="213">
        <v>35601</v>
      </c>
      <c r="G344">
        <v>3</v>
      </c>
      <c r="H344">
        <v>84.84</v>
      </c>
      <c r="I344" t="s">
        <v>1443</v>
      </c>
      <c r="J344" t="s">
        <v>1444</v>
      </c>
      <c r="K344" t="s">
        <v>1226</v>
      </c>
      <c r="M344">
        <v>5023</v>
      </c>
      <c r="N344" t="s">
        <v>1227</v>
      </c>
    </row>
    <row r="345" spans="1:14">
      <c r="A345">
        <v>10574</v>
      </c>
      <c r="B345" t="s">
        <v>1540</v>
      </c>
      <c r="C345">
        <v>4</v>
      </c>
      <c r="D345" s="213">
        <v>35600</v>
      </c>
      <c r="E345" s="213">
        <v>35628</v>
      </c>
      <c r="F345" s="213">
        <v>35611</v>
      </c>
      <c r="G345">
        <v>2</v>
      </c>
      <c r="H345">
        <v>37.6</v>
      </c>
      <c r="I345" t="s">
        <v>1541</v>
      </c>
      <c r="J345" t="s">
        <v>1542</v>
      </c>
      <c r="K345" t="s">
        <v>1543</v>
      </c>
      <c r="L345" t="s">
        <v>1268</v>
      </c>
      <c r="M345">
        <v>98034</v>
      </c>
      <c r="N345" t="s">
        <v>1241</v>
      </c>
    </row>
    <row r="346" spans="1:14">
      <c r="A346">
        <v>10575</v>
      </c>
      <c r="B346" t="s">
        <v>1285</v>
      </c>
      <c r="C346">
        <v>5</v>
      </c>
      <c r="D346" s="213">
        <v>35601</v>
      </c>
      <c r="E346" s="213">
        <v>35615</v>
      </c>
      <c r="F346" s="213">
        <v>35611</v>
      </c>
      <c r="G346">
        <v>1</v>
      </c>
      <c r="H346">
        <v>127.34</v>
      </c>
      <c r="I346" t="s">
        <v>1286</v>
      </c>
      <c r="J346" t="s">
        <v>1287</v>
      </c>
      <c r="K346" t="s">
        <v>1288</v>
      </c>
      <c r="M346">
        <v>4179</v>
      </c>
      <c r="N346" t="s">
        <v>1184</v>
      </c>
    </row>
    <row r="347" spans="1:14">
      <c r="A347">
        <v>10576</v>
      </c>
      <c r="B347" t="s">
        <v>1282</v>
      </c>
      <c r="C347">
        <v>3</v>
      </c>
      <c r="D347" s="213">
        <v>35604</v>
      </c>
      <c r="E347" s="213">
        <v>35618</v>
      </c>
      <c r="F347" s="213">
        <v>35611</v>
      </c>
      <c r="G347">
        <v>3</v>
      </c>
      <c r="H347">
        <v>18.559999999999999</v>
      </c>
      <c r="I347" t="s">
        <v>1283</v>
      </c>
      <c r="J347" t="s">
        <v>1284</v>
      </c>
      <c r="K347" t="s">
        <v>1226</v>
      </c>
      <c r="M347">
        <v>5033</v>
      </c>
      <c r="N347" t="s">
        <v>1227</v>
      </c>
    </row>
    <row r="348" spans="1:14">
      <c r="A348">
        <v>10577</v>
      </c>
      <c r="B348" t="s">
        <v>1540</v>
      </c>
      <c r="C348">
        <v>9</v>
      </c>
      <c r="D348" s="213">
        <v>35604</v>
      </c>
      <c r="E348" s="213">
        <v>35646</v>
      </c>
      <c r="F348" s="213">
        <v>35611</v>
      </c>
      <c r="G348">
        <v>2</v>
      </c>
      <c r="H348">
        <v>25.41</v>
      </c>
      <c r="I348" t="s">
        <v>1541</v>
      </c>
      <c r="J348" t="s">
        <v>1542</v>
      </c>
      <c r="K348" t="s">
        <v>1543</v>
      </c>
      <c r="L348" t="s">
        <v>1268</v>
      </c>
      <c r="M348">
        <v>98034</v>
      </c>
      <c r="N348" t="s">
        <v>1241</v>
      </c>
    </row>
    <row r="349" spans="1:14">
      <c r="A349">
        <v>10578</v>
      </c>
      <c r="B349" t="s">
        <v>1316</v>
      </c>
      <c r="C349">
        <v>4</v>
      </c>
      <c r="D349" s="213">
        <v>35605</v>
      </c>
      <c r="E349" s="213">
        <v>35633</v>
      </c>
      <c r="F349" s="213">
        <v>35636</v>
      </c>
      <c r="G349">
        <v>3</v>
      </c>
      <c r="H349">
        <v>29.6</v>
      </c>
      <c r="I349" t="s">
        <v>1317</v>
      </c>
      <c r="J349" t="s">
        <v>1318</v>
      </c>
      <c r="K349" t="s">
        <v>1319</v>
      </c>
      <c r="M349" t="s">
        <v>1320</v>
      </c>
      <c r="N349" t="s">
        <v>1321</v>
      </c>
    </row>
    <row r="350" spans="1:14">
      <c r="A350">
        <v>10579</v>
      </c>
      <c r="B350" t="s">
        <v>1544</v>
      </c>
      <c r="C350">
        <v>1</v>
      </c>
      <c r="D350" s="213">
        <v>35606</v>
      </c>
      <c r="E350" s="213">
        <v>35634</v>
      </c>
      <c r="F350" s="213">
        <v>35615</v>
      </c>
      <c r="G350">
        <v>2</v>
      </c>
      <c r="H350">
        <v>13.73</v>
      </c>
      <c r="I350" t="s">
        <v>1545</v>
      </c>
      <c r="J350" t="s">
        <v>1546</v>
      </c>
    </row>
    <row r="351" spans="1:14">
      <c r="A351" t="s">
        <v>1547</v>
      </c>
      <c r="B351" t="s">
        <v>1548</v>
      </c>
      <c r="C351" t="s">
        <v>1549</v>
      </c>
      <c r="D351">
        <v>94117</v>
      </c>
      <c r="E351" t="s">
        <v>1241</v>
      </c>
    </row>
    <row r="352" spans="1:14">
      <c r="A352">
        <v>10580</v>
      </c>
      <c r="B352" t="s">
        <v>1228</v>
      </c>
      <c r="C352">
        <v>4</v>
      </c>
      <c r="D352" s="213">
        <v>35607</v>
      </c>
      <c r="E352" s="213">
        <v>35635</v>
      </c>
      <c r="F352" s="213">
        <v>35612</v>
      </c>
      <c r="G352">
        <v>3</v>
      </c>
      <c r="H352">
        <v>75.89</v>
      </c>
      <c r="I352" t="s">
        <v>1229</v>
      </c>
      <c r="J352" t="s">
        <v>1230</v>
      </c>
      <c r="K352" t="s">
        <v>1231</v>
      </c>
      <c r="M352">
        <v>50739</v>
      </c>
      <c r="N352" t="s">
        <v>1184</v>
      </c>
    </row>
    <row r="353" spans="1:14">
      <c r="A353">
        <v>10581</v>
      </c>
      <c r="B353" t="s">
        <v>1411</v>
      </c>
      <c r="C353">
        <v>3</v>
      </c>
      <c r="D353" s="213">
        <v>35607</v>
      </c>
      <c r="E353" s="213">
        <v>35635</v>
      </c>
      <c r="F353" s="213">
        <v>35613</v>
      </c>
      <c r="G353">
        <v>1</v>
      </c>
      <c r="H353">
        <v>3.01</v>
      </c>
      <c r="I353" t="s">
        <v>1412</v>
      </c>
      <c r="J353" t="s">
        <v>1413</v>
      </c>
      <c r="K353" t="s">
        <v>983</v>
      </c>
      <c r="L353" t="s">
        <v>38</v>
      </c>
      <c r="M353" t="s">
        <v>1414</v>
      </c>
      <c r="N353" t="s">
        <v>831</v>
      </c>
    </row>
    <row r="354" spans="1:14">
      <c r="A354">
        <v>10582</v>
      </c>
      <c r="B354" t="s">
        <v>1519</v>
      </c>
      <c r="C354">
        <v>3</v>
      </c>
      <c r="D354" s="213">
        <v>35608</v>
      </c>
      <c r="E354" s="213">
        <v>35636</v>
      </c>
      <c r="F354" s="213">
        <v>35625</v>
      </c>
      <c r="G354">
        <v>2</v>
      </c>
      <c r="H354">
        <v>27.71</v>
      </c>
      <c r="I354" t="s">
        <v>1520</v>
      </c>
      <c r="J354" t="s">
        <v>1521</v>
      </c>
      <c r="K354" t="s">
        <v>1522</v>
      </c>
      <c r="M354">
        <v>68306</v>
      </c>
      <c r="N354" t="s">
        <v>1184</v>
      </c>
    </row>
    <row r="355" spans="1:14">
      <c r="A355">
        <v>10583</v>
      </c>
      <c r="B355" t="s">
        <v>1251</v>
      </c>
      <c r="C355">
        <v>2</v>
      </c>
      <c r="D355" s="213">
        <v>35611</v>
      </c>
      <c r="E355" s="213">
        <v>35639</v>
      </c>
      <c r="F355" s="213">
        <v>35615</v>
      </c>
      <c r="G355">
        <v>2</v>
      </c>
      <c r="H355">
        <v>7.28</v>
      </c>
      <c r="I355" t="s">
        <v>1252</v>
      </c>
      <c r="J355" t="s">
        <v>1253</v>
      </c>
      <c r="K355" t="s">
        <v>1254</v>
      </c>
      <c r="M355">
        <v>90110</v>
      </c>
      <c r="N355" t="s">
        <v>1255</v>
      </c>
    </row>
    <row r="356" spans="1:14">
      <c r="A356">
        <v>10584</v>
      </c>
      <c r="B356" t="s">
        <v>1247</v>
      </c>
      <c r="C356">
        <v>4</v>
      </c>
      <c r="D356" s="213">
        <v>35611</v>
      </c>
      <c r="E356" s="213">
        <v>35639</v>
      </c>
      <c r="F356" s="213">
        <v>35615</v>
      </c>
      <c r="G356">
        <v>1</v>
      </c>
      <c r="H356">
        <v>59.14</v>
      </c>
      <c r="I356" t="s">
        <v>1248</v>
      </c>
      <c r="J356" t="s">
        <v>1249</v>
      </c>
      <c r="K356" t="s">
        <v>1250</v>
      </c>
      <c r="M356">
        <v>67000</v>
      </c>
      <c r="N356" t="s">
        <v>824</v>
      </c>
    </row>
    <row r="357" spans="1:14">
      <c r="A357">
        <v>10585</v>
      </c>
      <c r="B357" t="s">
        <v>1207</v>
      </c>
      <c r="C357">
        <v>7</v>
      </c>
      <c r="D357" s="213">
        <v>35612</v>
      </c>
      <c r="E357" s="213">
        <v>35640</v>
      </c>
      <c r="F357" s="213">
        <v>35621</v>
      </c>
      <c r="G357">
        <v>1</v>
      </c>
      <c r="H357">
        <v>13.41</v>
      </c>
      <c r="I357" t="s">
        <v>1208</v>
      </c>
      <c r="J357" t="s">
        <v>1209</v>
      </c>
      <c r="K357" t="s">
        <v>1210</v>
      </c>
      <c r="L357" t="s">
        <v>38</v>
      </c>
      <c r="M357" t="s">
        <v>1211</v>
      </c>
      <c r="N357" t="s">
        <v>831</v>
      </c>
    </row>
    <row r="358" spans="1:14">
      <c r="A358">
        <v>10586</v>
      </c>
      <c r="B358" t="s">
        <v>1312</v>
      </c>
      <c r="C358">
        <v>9</v>
      </c>
      <c r="D358" s="213">
        <v>35613</v>
      </c>
      <c r="E358" s="213">
        <v>35641</v>
      </c>
      <c r="F358" s="213">
        <v>35620</v>
      </c>
      <c r="G358">
        <v>1</v>
      </c>
      <c r="H358">
        <v>0.48</v>
      </c>
      <c r="I358" t="s">
        <v>1313</v>
      </c>
      <c r="J358" t="s">
        <v>1314</v>
      </c>
      <c r="K358" t="s">
        <v>1315</v>
      </c>
      <c r="M358">
        <v>42100</v>
      </c>
      <c r="N358" t="s">
        <v>827</v>
      </c>
    </row>
    <row r="359" spans="1:14">
      <c r="A359">
        <v>10587</v>
      </c>
      <c r="B359" t="s">
        <v>1232</v>
      </c>
      <c r="C359">
        <v>1</v>
      </c>
      <c r="D359" s="213">
        <v>35613</v>
      </c>
      <c r="E359" s="213">
        <v>35641</v>
      </c>
      <c r="F359" s="213">
        <v>35620</v>
      </c>
      <c r="G359">
        <v>1</v>
      </c>
      <c r="H359">
        <v>62.52</v>
      </c>
      <c r="I359" t="s">
        <v>1233</v>
      </c>
      <c r="J359" t="s">
        <v>1234</v>
      </c>
      <c r="K359" t="s">
        <v>1158</v>
      </c>
      <c r="L359" t="s">
        <v>57</v>
      </c>
      <c r="M359" t="s">
        <v>1235</v>
      </c>
      <c r="N359" t="s">
        <v>831</v>
      </c>
    </row>
    <row r="360" spans="1:14">
      <c r="A360">
        <v>10588</v>
      </c>
      <c r="B360" t="s">
        <v>1274</v>
      </c>
      <c r="C360">
        <v>2</v>
      </c>
      <c r="D360" s="213">
        <v>35614</v>
      </c>
      <c r="E360" s="213">
        <v>35642</v>
      </c>
      <c r="F360" s="213">
        <v>35621</v>
      </c>
      <c r="G360">
        <v>3</v>
      </c>
      <c r="H360">
        <v>194.67</v>
      </c>
      <c r="I360" t="s">
        <v>1275</v>
      </c>
      <c r="J360" t="s">
        <v>1276</v>
      </c>
      <c r="K360" t="s">
        <v>1277</v>
      </c>
      <c r="M360">
        <v>1307</v>
      </c>
      <c r="N360" t="s">
        <v>1184</v>
      </c>
    </row>
    <row r="361" spans="1:14">
      <c r="A361">
        <v>10589</v>
      </c>
      <c r="B361" t="s">
        <v>1531</v>
      </c>
      <c r="C361">
        <v>8</v>
      </c>
      <c r="D361" s="213">
        <v>35615</v>
      </c>
      <c r="E361" s="213">
        <v>35643</v>
      </c>
      <c r="F361" s="213">
        <v>35625</v>
      </c>
      <c r="G361">
        <v>2</v>
      </c>
      <c r="H361">
        <v>4.42</v>
      </c>
      <c r="I361" t="s">
        <v>1532</v>
      </c>
      <c r="J361" t="s">
        <v>1533</v>
      </c>
      <c r="K361" t="s">
        <v>1534</v>
      </c>
      <c r="L361" t="s">
        <v>1353</v>
      </c>
      <c r="M361">
        <v>97403</v>
      </c>
      <c r="N361" t="s">
        <v>1241</v>
      </c>
    </row>
    <row r="362" spans="1:14">
      <c r="A362">
        <v>10590</v>
      </c>
      <c r="B362" t="s">
        <v>1396</v>
      </c>
      <c r="C362">
        <v>4</v>
      </c>
      <c r="D362" s="213">
        <v>35618</v>
      </c>
      <c r="E362" s="213">
        <v>35646</v>
      </c>
      <c r="F362" s="213">
        <v>35625</v>
      </c>
      <c r="G362">
        <v>3</v>
      </c>
      <c r="H362">
        <v>44.77</v>
      </c>
      <c r="I362" t="s">
        <v>1397</v>
      </c>
      <c r="J362" t="s">
        <v>1398</v>
      </c>
      <c r="K362" t="s">
        <v>1399</v>
      </c>
      <c r="L362" t="s">
        <v>1400</v>
      </c>
      <c r="M362" t="s">
        <v>1401</v>
      </c>
      <c r="N362" t="s">
        <v>1402</v>
      </c>
    </row>
    <row r="363" spans="1:14">
      <c r="A363">
        <v>10591</v>
      </c>
      <c r="B363" t="s">
        <v>1449</v>
      </c>
      <c r="C363">
        <v>1</v>
      </c>
      <c r="D363" s="213">
        <v>35618</v>
      </c>
      <c r="E363" s="213">
        <v>35632</v>
      </c>
      <c r="F363" s="213">
        <v>35627</v>
      </c>
      <c r="G363">
        <v>1</v>
      </c>
      <c r="H363">
        <v>55.92</v>
      </c>
      <c r="I363" t="s">
        <v>1450</v>
      </c>
      <c r="J363" t="s">
        <v>1451</v>
      </c>
      <c r="K363" t="s">
        <v>1452</v>
      </c>
      <c r="M363">
        <v>8200</v>
      </c>
      <c r="N363" t="s">
        <v>1410</v>
      </c>
    </row>
    <row r="364" spans="1:14">
      <c r="A364">
        <v>10592</v>
      </c>
      <c r="B364" t="s">
        <v>1294</v>
      </c>
      <c r="C364">
        <v>3</v>
      </c>
      <c r="D364" s="213">
        <v>35619</v>
      </c>
      <c r="E364" s="213">
        <v>35647</v>
      </c>
      <c r="F364" s="213">
        <v>35627</v>
      </c>
      <c r="G364">
        <v>1</v>
      </c>
      <c r="H364">
        <v>32.1</v>
      </c>
      <c r="I364" t="s">
        <v>1295</v>
      </c>
      <c r="J364" t="s">
        <v>1296</v>
      </c>
      <c r="K364" t="s">
        <v>1297</v>
      </c>
      <c r="M364">
        <v>60528</v>
      </c>
      <c r="N364" t="s">
        <v>1184</v>
      </c>
    </row>
    <row r="365" spans="1:14">
      <c r="A365">
        <v>10593</v>
      </c>
      <c r="B365" t="s">
        <v>1294</v>
      </c>
      <c r="C365">
        <v>7</v>
      </c>
      <c r="D365" s="213">
        <v>35620</v>
      </c>
      <c r="E365" s="213">
        <v>35648</v>
      </c>
      <c r="F365" s="213">
        <v>35655</v>
      </c>
      <c r="G365">
        <v>2</v>
      </c>
      <c r="H365">
        <v>174.2</v>
      </c>
      <c r="I365" t="s">
        <v>1295</v>
      </c>
      <c r="J365" t="s">
        <v>1296</v>
      </c>
      <c r="K365" t="s">
        <v>1297</v>
      </c>
      <c r="M365">
        <v>60528</v>
      </c>
      <c r="N365" t="s">
        <v>1184</v>
      </c>
    </row>
    <row r="366" spans="1:14">
      <c r="A366">
        <v>10594</v>
      </c>
      <c r="B366" t="s">
        <v>1344</v>
      </c>
      <c r="C366">
        <v>3</v>
      </c>
      <c r="D366" s="213">
        <v>35620</v>
      </c>
      <c r="E366" s="213">
        <v>35648</v>
      </c>
      <c r="F366" s="213">
        <v>35627</v>
      </c>
      <c r="G366">
        <v>2</v>
      </c>
      <c r="H366">
        <v>5.24</v>
      </c>
      <c r="I366" t="s">
        <v>1345</v>
      </c>
      <c r="J366" t="s">
        <v>1346</v>
      </c>
      <c r="K366" t="s">
        <v>1347</v>
      </c>
      <c r="L366" t="s">
        <v>1348</v>
      </c>
      <c r="M366">
        <v>99508</v>
      </c>
      <c r="N366" t="s">
        <v>1241</v>
      </c>
    </row>
    <row r="367" spans="1:14">
      <c r="A367">
        <v>10595</v>
      </c>
      <c r="B367" t="s">
        <v>1218</v>
      </c>
      <c r="C367">
        <v>2</v>
      </c>
      <c r="D367" s="213">
        <v>35621</v>
      </c>
      <c r="E367" s="213">
        <v>35649</v>
      </c>
      <c r="F367" s="213">
        <v>35625</v>
      </c>
      <c r="G367">
        <v>1</v>
      </c>
      <c r="H367">
        <v>96.78</v>
      </c>
      <c r="I367" t="s">
        <v>1219</v>
      </c>
      <c r="J367" t="s">
        <v>1220</v>
      </c>
      <c r="K367" t="s">
        <v>1221</v>
      </c>
      <c r="M367">
        <v>8010</v>
      </c>
      <c r="N367" t="s">
        <v>1222</v>
      </c>
    </row>
    <row r="368" spans="1:14">
      <c r="A368">
        <v>10596</v>
      </c>
      <c r="B368" t="s">
        <v>1264</v>
      </c>
      <c r="C368">
        <v>8</v>
      </c>
      <c r="D368" s="213">
        <v>35622</v>
      </c>
      <c r="E368" s="213">
        <v>35650</v>
      </c>
      <c r="F368" s="213">
        <v>35654</v>
      </c>
      <c r="G368">
        <v>1</v>
      </c>
      <c r="H368">
        <v>16.34</v>
      </c>
      <c r="I368" t="s">
        <v>1265</v>
      </c>
      <c r="J368" t="s">
        <v>1266</v>
      </c>
      <c r="K368" t="s">
        <v>1267</v>
      </c>
      <c r="L368" t="s">
        <v>1268</v>
      </c>
      <c r="M368">
        <v>98124</v>
      </c>
      <c r="N368" t="s">
        <v>1241</v>
      </c>
    </row>
    <row r="369" spans="1:14">
      <c r="A369">
        <v>10597</v>
      </c>
      <c r="B369" t="s">
        <v>1419</v>
      </c>
      <c r="C369">
        <v>7</v>
      </c>
      <c r="D369" s="213">
        <v>35622</v>
      </c>
      <c r="E369" s="213">
        <v>35650</v>
      </c>
      <c r="F369" s="213">
        <v>35629</v>
      </c>
      <c r="G369">
        <v>3</v>
      </c>
      <c r="H369">
        <v>35.119999999999997</v>
      </c>
      <c r="I369" t="s">
        <v>1420</v>
      </c>
      <c r="J369" t="s">
        <v>1421</v>
      </c>
      <c r="K369" t="s">
        <v>1422</v>
      </c>
      <c r="M369">
        <v>5020</v>
      </c>
      <c r="N369" t="s">
        <v>1222</v>
      </c>
    </row>
    <row r="370" spans="1:14">
      <c r="A370">
        <v>10598</v>
      </c>
      <c r="B370" t="s">
        <v>1236</v>
      </c>
      <c r="C370">
        <v>1</v>
      </c>
      <c r="D370" s="213">
        <v>35625</v>
      </c>
      <c r="E370" s="213">
        <v>35653</v>
      </c>
      <c r="F370" s="213">
        <v>35629</v>
      </c>
      <c r="G370">
        <v>3</v>
      </c>
      <c r="H370">
        <v>44.42</v>
      </c>
      <c r="I370" t="s">
        <v>1237</v>
      </c>
      <c r="J370" t="s">
        <v>1238</v>
      </c>
      <c r="K370" t="s">
        <v>1239</v>
      </c>
      <c r="L370" t="s">
        <v>1240</v>
      </c>
      <c r="M370">
        <v>87110</v>
      </c>
      <c r="N370" t="s">
        <v>1241</v>
      </c>
    </row>
    <row r="371" spans="1:14">
      <c r="A371">
        <v>10599</v>
      </c>
      <c r="B371" t="s">
        <v>1316</v>
      </c>
      <c r="C371">
        <v>6</v>
      </c>
      <c r="D371" s="213">
        <v>35626</v>
      </c>
      <c r="E371" s="213">
        <v>35668</v>
      </c>
      <c r="F371" s="213">
        <v>35632</v>
      </c>
      <c r="G371">
        <v>3</v>
      </c>
      <c r="H371">
        <v>29.98</v>
      </c>
      <c r="I371" t="s">
        <v>1317</v>
      </c>
      <c r="J371" t="s">
        <v>1318</v>
      </c>
      <c r="K371" t="s">
        <v>1319</v>
      </c>
      <c r="M371" t="s">
        <v>1320</v>
      </c>
      <c r="N371" t="s">
        <v>1321</v>
      </c>
    </row>
    <row r="372" spans="1:14">
      <c r="A372">
        <v>10600</v>
      </c>
      <c r="B372" t="s">
        <v>1463</v>
      </c>
      <c r="C372">
        <v>4</v>
      </c>
      <c r="D372" s="213">
        <v>35627</v>
      </c>
      <c r="E372" s="213">
        <v>35655</v>
      </c>
      <c r="F372" s="213">
        <v>35632</v>
      </c>
      <c r="G372">
        <v>1</v>
      </c>
      <c r="H372">
        <v>45.13</v>
      </c>
      <c r="I372" t="s">
        <v>1464</v>
      </c>
      <c r="J372" t="s">
        <v>1465</v>
      </c>
    </row>
    <row r="373" spans="1:14">
      <c r="A373" t="s">
        <v>1466</v>
      </c>
      <c r="B373" t="s">
        <v>1467</v>
      </c>
      <c r="C373" t="s">
        <v>1353</v>
      </c>
      <c r="D373">
        <v>97827</v>
      </c>
      <c r="E373" t="s">
        <v>1241</v>
      </c>
    </row>
    <row r="374" spans="1:14">
      <c r="A374">
        <v>10601</v>
      </c>
      <c r="B374" t="s">
        <v>1212</v>
      </c>
      <c r="C374">
        <v>7</v>
      </c>
      <c r="D374" s="213">
        <v>35627</v>
      </c>
      <c r="E374" s="213">
        <v>35669</v>
      </c>
      <c r="F374" s="213">
        <v>35633</v>
      </c>
      <c r="G374">
        <v>1</v>
      </c>
      <c r="H374">
        <v>58.3</v>
      </c>
      <c r="I374" t="s">
        <v>1213</v>
      </c>
      <c r="J374" t="s">
        <v>1214</v>
      </c>
      <c r="K374" t="s">
        <v>1215</v>
      </c>
      <c r="L374" t="s">
        <v>1216</v>
      </c>
      <c r="M374">
        <v>5022</v>
      </c>
      <c r="N374" t="s">
        <v>1217</v>
      </c>
    </row>
    <row r="375" spans="1:14">
      <c r="A375">
        <v>10602</v>
      </c>
      <c r="B375" t="s">
        <v>1449</v>
      </c>
      <c r="C375">
        <v>8</v>
      </c>
      <c r="D375" s="213">
        <v>35628</v>
      </c>
      <c r="E375" s="213">
        <v>35656</v>
      </c>
      <c r="F375" s="213">
        <v>35633</v>
      </c>
      <c r="G375">
        <v>2</v>
      </c>
      <c r="H375">
        <v>2.92</v>
      </c>
      <c r="I375" t="s">
        <v>1450</v>
      </c>
      <c r="J375" t="s">
        <v>1451</v>
      </c>
      <c r="K375" t="s">
        <v>1452</v>
      </c>
      <c r="M375">
        <v>8200</v>
      </c>
      <c r="N375" t="s">
        <v>1410</v>
      </c>
    </row>
    <row r="376" spans="1:14">
      <c r="A376">
        <v>10603</v>
      </c>
      <c r="B376" t="s">
        <v>1379</v>
      </c>
      <c r="C376">
        <v>8</v>
      </c>
      <c r="D376" s="213">
        <v>35629</v>
      </c>
      <c r="E376" s="213">
        <v>35657</v>
      </c>
      <c r="F376" s="213">
        <v>35650</v>
      </c>
      <c r="G376">
        <v>2</v>
      </c>
      <c r="H376">
        <v>48.77</v>
      </c>
      <c r="I376" t="s">
        <v>1380</v>
      </c>
      <c r="J376" t="s">
        <v>1381</v>
      </c>
      <c r="K376" t="s">
        <v>1382</v>
      </c>
      <c r="L376" t="s">
        <v>1383</v>
      </c>
      <c r="M376">
        <v>83720</v>
      </c>
      <c r="N376" t="s">
        <v>1241</v>
      </c>
    </row>
    <row r="377" spans="1:14">
      <c r="A377">
        <v>10604</v>
      </c>
      <c r="B377" t="s">
        <v>1387</v>
      </c>
      <c r="C377">
        <v>1</v>
      </c>
      <c r="D377" s="213">
        <v>35629</v>
      </c>
      <c r="E377" s="213">
        <v>35657</v>
      </c>
      <c r="F377" s="213">
        <v>35640</v>
      </c>
      <c r="G377">
        <v>1</v>
      </c>
      <c r="H377">
        <v>7.46</v>
      </c>
      <c r="I377" t="s">
        <v>1388</v>
      </c>
      <c r="J377" t="s">
        <v>1389</v>
      </c>
      <c r="K377" t="s">
        <v>1390</v>
      </c>
      <c r="M377">
        <v>1675</v>
      </c>
      <c r="N377" t="s">
        <v>1391</v>
      </c>
    </row>
    <row r="378" spans="1:14">
      <c r="A378">
        <v>10605</v>
      </c>
      <c r="B378" t="s">
        <v>1396</v>
      </c>
      <c r="C378">
        <v>1</v>
      </c>
      <c r="D378" s="213">
        <v>35632</v>
      </c>
      <c r="E378" s="213">
        <v>35660</v>
      </c>
      <c r="F378" s="213">
        <v>35640</v>
      </c>
      <c r="G378">
        <v>2</v>
      </c>
      <c r="H378">
        <v>379.13</v>
      </c>
      <c r="I378" t="s">
        <v>1397</v>
      </c>
      <c r="J378" t="s">
        <v>1398</v>
      </c>
      <c r="K378" t="s">
        <v>1399</v>
      </c>
      <c r="L378" t="s">
        <v>1400</v>
      </c>
      <c r="M378" t="s">
        <v>1401</v>
      </c>
      <c r="N378" t="s">
        <v>1402</v>
      </c>
    </row>
    <row r="379" spans="1:14">
      <c r="A379">
        <v>10606</v>
      </c>
      <c r="B379" t="s">
        <v>1326</v>
      </c>
      <c r="C379">
        <v>4</v>
      </c>
      <c r="D379" s="213">
        <v>35633</v>
      </c>
      <c r="E379" s="213">
        <v>35661</v>
      </c>
      <c r="F379" s="213">
        <v>35642</v>
      </c>
      <c r="G379">
        <v>3</v>
      </c>
      <c r="H379">
        <v>79.400000000000006</v>
      </c>
      <c r="I379" t="s">
        <v>1327</v>
      </c>
      <c r="J379" t="s">
        <v>1328</v>
      </c>
      <c r="K379" t="s">
        <v>983</v>
      </c>
      <c r="L379" t="s">
        <v>38</v>
      </c>
      <c r="M379" t="s">
        <v>1329</v>
      </c>
      <c r="N379" t="s">
        <v>831</v>
      </c>
    </row>
    <row r="380" spans="1:14">
      <c r="A380">
        <v>10607</v>
      </c>
      <c r="B380" t="s">
        <v>1379</v>
      </c>
      <c r="C380">
        <v>5</v>
      </c>
      <c r="D380" s="213">
        <v>35633</v>
      </c>
      <c r="E380" s="213">
        <v>35661</v>
      </c>
      <c r="F380" s="213">
        <v>35636</v>
      </c>
      <c r="G380">
        <v>1</v>
      </c>
      <c r="H380">
        <v>200.24</v>
      </c>
      <c r="I380" t="s">
        <v>1380</v>
      </c>
      <c r="J380" t="s">
        <v>1381</v>
      </c>
      <c r="K380" t="s">
        <v>1382</v>
      </c>
      <c r="L380" t="s">
        <v>1383</v>
      </c>
      <c r="M380">
        <v>83720</v>
      </c>
      <c r="N380" t="s">
        <v>1241</v>
      </c>
    </row>
    <row r="381" spans="1:14">
      <c r="A381">
        <v>10608</v>
      </c>
      <c r="B381" t="s">
        <v>1180</v>
      </c>
      <c r="C381">
        <v>4</v>
      </c>
      <c r="D381" s="213">
        <v>35634</v>
      </c>
      <c r="E381" s="213">
        <v>35662</v>
      </c>
      <c r="F381" s="213">
        <v>35643</v>
      </c>
      <c r="G381">
        <v>2</v>
      </c>
      <c r="H381">
        <v>27.79</v>
      </c>
      <c r="I381" t="s">
        <v>1181</v>
      </c>
      <c r="J381" t="s">
        <v>1182</v>
      </c>
      <c r="K381" t="s">
        <v>1183</v>
      </c>
      <c r="M381">
        <v>44087</v>
      </c>
      <c r="N381" t="s">
        <v>1184</v>
      </c>
    </row>
    <row r="382" spans="1:14">
      <c r="A382">
        <v>10609</v>
      </c>
      <c r="B382" t="s">
        <v>1361</v>
      </c>
      <c r="C382">
        <v>7</v>
      </c>
      <c r="D382" s="213">
        <v>35635</v>
      </c>
      <c r="E382" s="213">
        <v>35663</v>
      </c>
      <c r="F382" s="213">
        <v>35641</v>
      </c>
      <c r="G382">
        <v>2</v>
      </c>
      <c r="H382">
        <v>1.85</v>
      </c>
      <c r="I382" t="s">
        <v>1362</v>
      </c>
      <c r="J382" t="s">
        <v>1363</v>
      </c>
      <c r="K382" t="s">
        <v>1364</v>
      </c>
      <c r="M382">
        <v>44000</v>
      </c>
      <c r="N382" t="s">
        <v>824</v>
      </c>
    </row>
    <row r="383" spans="1:14">
      <c r="A383">
        <v>10610</v>
      </c>
      <c r="B383" t="s">
        <v>1415</v>
      </c>
      <c r="C383">
        <v>8</v>
      </c>
      <c r="D383" s="213">
        <v>35636</v>
      </c>
      <c r="E383" s="213">
        <v>35664</v>
      </c>
      <c r="F383" s="213">
        <v>35648</v>
      </c>
      <c r="G383">
        <v>1</v>
      </c>
      <c r="H383">
        <v>26.78</v>
      </c>
      <c r="I383" t="s">
        <v>1416</v>
      </c>
      <c r="J383" t="s">
        <v>1417</v>
      </c>
      <c r="K383" t="s">
        <v>1418</v>
      </c>
      <c r="M383">
        <v>31000</v>
      </c>
      <c r="N383" t="s">
        <v>824</v>
      </c>
    </row>
    <row r="384" spans="1:14">
      <c r="A384">
        <v>10611</v>
      </c>
      <c r="B384" t="s">
        <v>1457</v>
      </c>
      <c r="C384">
        <v>6</v>
      </c>
      <c r="D384" s="213">
        <v>35636</v>
      </c>
      <c r="E384" s="213">
        <v>35664</v>
      </c>
      <c r="F384" s="213">
        <v>35643</v>
      </c>
      <c r="G384">
        <v>2</v>
      </c>
      <c r="H384">
        <v>80.650000000000006</v>
      </c>
      <c r="I384" t="s">
        <v>1458</v>
      </c>
      <c r="J384" t="s">
        <v>1459</v>
      </c>
      <c r="K384" t="s">
        <v>1460</v>
      </c>
      <c r="M384" t="s">
        <v>1461</v>
      </c>
      <c r="N384" t="s">
        <v>1462</v>
      </c>
    </row>
    <row r="385" spans="1:14">
      <c r="A385">
        <v>10612</v>
      </c>
      <c r="B385" t="s">
        <v>1379</v>
      </c>
      <c r="C385">
        <v>1</v>
      </c>
      <c r="D385" s="213">
        <v>35639</v>
      </c>
      <c r="E385" s="213">
        <v>35667</v>
      </c>
      <c r="F385" s="213">
        <v>35643</v>
      </c>
      <c r="G385">
        <v>2</v>
      </c>
      <c r="H385">
        <v>544.08000000000004</v>
      </c>
      <c r="I385" t="s">
        <v>1380</v>
      </c>
      <c r="J385" t="s">
        <v>1381</v>
      </c>
      <c r="K385" t="s">
        <v>1382</v>
      </c>
      <c r="L385" t="s">
        <v>1383</v>
      </c>
      <c r="M385">
        <v>83720</v>
      </c>
      <c r="N385" t="s">
        <v>1241</v>
      </c>
    </row>
    <row r="386" spans="1:14">
      <c r="A386">
        <v>10613</v>
      </c>
      <c r="B386" t="s">
        <v>1212</v>
      </c>
      <c r="C386">
        <v>4</v>
      </c>
      <c r="D386" s="213">
        <v>35640</v>
      </c>
      <c r="E386" s="213">
        <v>35668</v>
      </c>
      <c r="F386" s="213">
        <v>35643</v>
      </c>
      <c r="G386">
        <v>2</v>
      </c>
      <c r="H386">
        <v>8.11</v>
      </c>
      <c r="I386" t="s">
        <v>1213</v>
      </c>
      <c r="J386" t="s">
        <v>1214</v>
      </c>
      <c r="K386" t="s">
        <v>1215</v>
      </c>
      <c r="L386" t="s">
        <v>1216</v>
      </c>
      <c r="M386">
        <v>5022</v>
      </c>
      <c r="N386" t="s">
        <v>1217</v>
      </c>
    </row>
    <row r="387" spans="1:14">
      <c r="A387">
        <v>10614</v>
      </c>
      <c r="B387" t="s">
        <v>1519</v>
      </c>
      <c r="C387">
        <v>8</v>
      </c>
      <c r="D387" s="213">
        <v>35640</v>
      </c>
      <c r="E387" s="213">
        <v>35668</v>
      </c>
      <c r="F387" s="213">
        <v>35643</v>
      </c>
      <c r="G387">
        <v>3</v>
      </c>
      <c r="H387">
        <v>1.93</v>
      </c>
      <c r="I387" t="s">
        <v>1520</v>
      </c>
      <c r="J387" t="s">
        <v>1521</v>
      </c>
      <c r="K387" t="s">
        <v>1522</v>
      </c>
      <c r="M387">
        <v>68306</v>
      </c>
      <c r="N387" t="s">
        <v>1184</v>
      </c>
    </row>
    <row r="388" spans="1:14">
      <c r="A388">
        <v>10615</v>
      </c>
      <c r="B388" t="s">
        <v>1550</v>
      </c>
      <c r="C388">
        <v>2</v>
      </c>
      <c r="D388" s="213">
        <v>35641</v>
      </c>
      <c r="E388" s="213">
        <v>35669</v>
      </c>
      <c r="F388" s="213">
        <v>35648</v>
      </c>
      <c r="G388">
        <v>3</v>
      </c>
      <c r="H388">
        <v>0.75</v>
      </c>
      <c r="I388" t="s">
        <v>1551</v>
      </c>
      <c r="J388" t="s">
        <v>1552</v>
      </c>
      <c r="K388" t="s">
        <v>1553</v>
      </c>
      <c r="M388">
        <v>21240</v>
      </c>
      <c r="N388" t="s">
        <v>1255</v>
      </c>
    </row>
    <row r="389" spans="1:14">
      <c r="A389">
        <v>10616</v>
      </c>
      <c r="B389" t="s">
        <v>1531</v>
      </c>
      <c r="C389">
        <v>1</v>
      </c>
      <c r="D389" s="213">
        <v>35642</v>
      </c>
      <c r="E389" s="213">
        <v>35670</v>
      </c>
      <c r="F389" s="213">
        <v>35647</v>
      </c>
      <c r="G389">
        <v>2</v>
      </c>
      <c r="H389">
        <v>116.53</v>
      </c>
      <c r="I389" t="s">
        <v>1532</v>
      </c>
      <c r="J389" t="s">
        <v>1533</v>
      </c>
      <c r="K389" t="s">
        <v>1534</v>
      </c>
      <c r="L389" t="s">
        <v>1353</v>
      </c>
      <c r="M389">
        <v>97403</v>
      </c>
      <c r="N389" t="s">
        <v>1241</v>
      </c>
    </row>
    <row r="390" spans="1:14">
      <c r="A390">
        <v>10617</v>
      </c>
      <c r="B390" t="s">
        <v>1531</v>
      </c>
      <c r="C390">
        <v>4</v>
      </c>
      <c r="D390" s="213">
        <v>35642</v>
      </c>
      <c r="E390" s="213">
        <v>35670</v>
      </c>
      <c r="F390" s="213">
        <v>35646</v>
      </c>
      <c r="G390">
        <v>2</v>
      </c>
      <c r="H390">
        <v>18.53</v>
      </c>
      <c r="I390" t="s">
        <v>1532</v>
      </c>
      <c r="J390" t="s">
        <v>1533</v>
      </c>
      <c r="K390" t="s">
        <v>1534</v>
      </c>
      <c r="L390" t="s">
        <v>1353</v>
      </c>
      <c r="M390">
        <v>97403</v>
      </c>
      <c r="N390" t="s">
        <v>1241</v>
      </c>
    </row>
    <row r="391" spans="1:14">
      <c r="A391">
        <v>10618</v>
      </c>
      <c r="B391" t="s">
        <v>1396</v>
      </c>
      <c r="C391">
        <v>1</v>
      </c>
      <c r="D391" s="213">
        <v>35643</v>
      </c>
      <c r="E391" s="213">
        <v>35685</v>
      </c>
      <c r="F391" s="213">
        <v>35650</v>
      </c>
      <c r="G391">
        <v>1</v>
      </c>
      <c r="H391">
        <v>154.68</v>
      </c>
      <c r="I391" t="s">
        <v>1397</v>
      </c>
      <c r="J391" t="s">
        <v>1398</v>
      </c>
      <c r="K391" t="s">
        <v>1399</v>
      </c>
      <c r="L391" t="s">
        <v>1400</v>
      </c>
      <c r="M391" t="s">
        <v>1401</v>
      </c>
      <c r="N391" t="s">
        <v>1402</v>
      </c>
    </row>
    <row r="392" spans="1:14">
      <c r="A392">
        <v>10619</v>
      </c>
      <c r="B392" t="s">
        <v>1396</v>
      </c>
      <c r="C392">
        <v>3</v>
      </c>
      <c r="D392" s="213">
        <v>35646</v>
      </c>
      <c r="E392" s="213">
        <v>35674</v>
      </c>
      <c r="F392" s="213">
        <v>35649</v>
      </c>
      <c r="G392">
        <v>3</v>
      </c>
      <c r="H392">
        <v>91.05</v>
      </c>
      <c r="I392" t="s">
        <v>1397</v>
      </c>
      <c r="J392" t="s">
        <v>1398</v>
      </c>
      <c r="K392" t="s">
        <v>1399</v>
      </c>
      <c r="L392" t="s">
        <v>1400</v>
      </c>
      <c r="M392" t="s">
        <v>1401</v>
      </c>
      <c r="N392" t="s">
        <v>1402</v>
      </c>
    </row>
    <row r="393" spans="1:14">
      <c r="A393">
        <v>10620</v>
      </c>
      <c r="B393" t="s">
        <v>1514</v>
      </c>
      <c r="C393">
        <v>2</v>
      </c>
      <c r="D393" s="213">
        <v>35647</v>
      </c>
      <c r="E393" s="213">
        <v>35675</v>
      </c>
      <c r="F393" s="213">
        <v>35656</v>
      </c>
      <c r="G393">
        <v>3</v>
      </c>
      <c r="H393">
        <v>0.94</v>
      </c>
      <c r="I393" t="s">
        <v>1515</v>
      </c>
      <c r="J393" t="s">
        <v>1516</v>
      </c>
      <c r="K393" t="s">
        <v>1517</v>
      </c>
      <c r="L393" t="s">
        <v>1477</v>
      </c>
      <c r="M393" t="s">
        <v>1518</v>
      </c>
      <c r="N393" t="s">
        <v>1402</v>
      </c>
    </row>
    <row r="394" spans="1:14">
      <c r="A394">
        <v>10621</v>
      </c>
      <c r="B394" t="s">
        <v>1365</v>
      </c>
      <c r="C394">
        <v>4</v>
      </c>
      <c r="D394" s="213">
        <v>35647</v>
      </c>
      <c r="E394" s="213">
        <v>35675</v>
      </c>
      <c r="F394" s="213">
        <v>35653</v>
      </c>
      <c r="G394">
        <v>2</v>
      </c>
      <c r="H394">
        <v>23.73</v>
      </c>
      <c r="I394" t="s">
        <v>1366</v>
      </c>
      <c r="J394" t="s">
        <v>1367</v>
      </c>
    </row>
    <row r="395" spans="1:14">
      <c r="A395" t="s">
        <v>1368</v>
      </c>
      <c r="B395" t="s">
        <v>1369</v>
      </c>
      <c r="C395" t="s">
        <v>1370</v>
      </c>
      <c r="D395" t="s">
        <v>1371</v>
      </c>
      <c r="E395" t="s">
        <v>1321</v>
      </c>
    </row>
    <row r="396" spans="1:14">
      <c r="A396">
        <v>10622</v>
      </c>
      <c r="B396" t="s">
        <v>1308</v>
      </c>
      <c r="C396">
        <v>4</v>
      </c>
      <c r="D396" s="213">
        <v>35648</v>
      </c>
      <c r="E396" s="213">
        <v>35676</v>
      </c>
      <c r="F396" s="213">
        <v>35653</v>
      </c>
      <c r="G396">
        <v>3</v>
      </c>
      <c r="H396">
        <v>50.97</v>
      </c>
      <c r="I396" t="s">
        <v>1309</v>
      </c>
      <c r="J396" t="s">
        <v>1310</v>
      </c>
      <c r="K396" t="s">
        <v>1158</v>
      </c>
      <c r="L396" t="s">
        <v>57</v>
      </c>
      <c r="M396" t="s">
        <v>1311</v>
      </c>
      <c r="N396" t="s">
        <v>831</v>
      </c>
    </row>
    <row r="397" spans="1:14">
      <c r="A397">
        <v>10623</v>
      </c>
      <c r="B397" t="s">
        <v>1256</v>
      </c>
      <c r="C397">
        <v>8</v>
      </c>
      <c r="D397" s="213">
        <v>35649</v>
      </c>
      <c r="E397" s="213">
        <v>35677</v>
      </c>
      <c r="F397" s="213">
        <v>35654</v>
      </c>
      <c r="G397">
        <v>2</v>
      </c>
      <c r="H397">
        <v>97.18</v>
      </c>
      <c r="I397" t="s">
        <v>1257</v>
      </c>
      <c r="J397" t="s">
        <v>1258</v>
      </c>
      <c r="K397" t="s">
        <v>1259</v>
      </c>
      <c r="M397">
        <v>80805</v>
      </c>
      <c r="N397" t="s">
        <v>1184</v>
      </c>
    </row>
    <row r="398" spans="1:14">
      <c r="A398">
        <v>10624</v>
      </c>
      <c r="B398" t="s">
        <v>1554</v>
      </c>
      <c r="C398">
        <v>4</v>
      </c>
      <c r="D398" s="213">
        <v>35649</v>
      </c>
      <c r="E398" s="213">
        <v>35677</v>
      </c>
      <c r="F398" s="213">
        <v>35661</v>
      </c>
      <c r="G398">
        <v>2</v>
      </c>
      <c r="H398">
        <v>94.8</v>
      </c>
      <c r="I398" t="s">
        <v>1555</v>
      </c>
      <c r="J398" t="s">
        <v>1556</v>
      </c>
      <c r="K398" t="s">
        <v>1557</v>
      </c>
      <c r="L398" t="s">
        <v>1558</v>
      </c>
      <c r="M398">
        <v>59801</v>
      </c>
      <c r="N398" t="s">
        <v>1241</v>
      </c>
    </row>
    <row r="399" spans="1:14">
      <c r="A399">
        <v>10625</v>
      </c>
      <c r="B399" t="s">
        <v>1354</v>
      </c>
      <c r="C399">
        <v>3</v>
      </c>
      <c r="D399" s="213">
        <v>35650</v>
      </c>
      <c r="E399" s="213">
        <v>35678</v>
      </c>
      <c r="F399" s="213">
        <v>35656</v>
      </c>
      <c r="G399">
        <v>1</v>
      </c>
      <c r="H399">
        <v>43.9</v>
      </c>
      <c r="I399" t="s">
        <v>1355</v>
      </c>
      <c r="J399" t="s">
        <v>1356</v>
      </c>
      <c r="K399" t="s">
        <v>1226</v>
      </c>
      <c r="M399">
        <v>5021</v>
      </c>
      <c r="N399" t="s">
        <v>1227</v>
      </c>
    </row>
    <row r="400" spans="1:14">
      <c r="A400">
        <v>10626</v>
      </c>
      <c r="B400" t="s">
        <v>1289</v>
      </c>
      <c r="C400">
        <v>1</v>
      </c>
      <c r="D400" s="213">
        <v>35653</v>
      </c>
      <c r="E400" s="213">
        <v>35681</v>
      </c>
      <c r="F400" s="213">
        <v>35662</v>
      </c>
      <c r="G400">
        <v>2</v>
      </c>
      <c r="H400">
        <v>138.69</v>
      </c>
      <c r="I400" t="s">
        <v>1290</v>
      </c>
      <c r="J400" t="s">
        <v>1291</v>
      </c>
      <c r="K400" t="s">
        <v>1292</v>
      </c>
      <c r="M400" t="s">
        <v>1293</v>
      </c>
      <c r="N400" t="s">
        <v>829</v>
      </c>
    </row>
    <row r="401" spans="1:14">
      <c r="A401">
        <v>10627</v>
      </c>
      <c r="B401" t="s">
        <v>1379</v>
      </c>
      <c r="C401">
        <v>8</v>
      </c>
      <c r="D401" s="213">
        <v>35653</v>
      </c>
      <c r="E401" s="213">
        <v>35695</v>
      </c>
      <c r="F401" s="213">
        <v>35663</v>
      </c>
      <c r="G401">
        <v>3</v>
      </c>
      <c r="H401">
        <v>107.46</v>
      </c>
      <c r="I401" t="s">
        <v>1380</v>
      </c>
      <c r="J401" t="s">
        <v>1381</v>
      </c>
      <c r="K401" t="s">
        <v>1382</v>
      </c>
      <c r="L401" t="s">
        <v>1383</v>
      </c>
      <c r="M401">
        <v>83720</v>
      </c>
      <c r="N401" t="s">
        <v>1241</v>
      </c>
    </row>
    <row r="402" spans="1:14">
      <c r="A402">
        <v>10628</v>
      </c>
      <c r="B402" t="s">
        <v>1247</v>
      </c>
      <c r="C402">
        <v>4</v>
      </c>
      <c r="D402" s="213">
        <v>35654</v>
      </c>
      <c r="E402" s="213">
        <v>35682</v>
      </c>
      <c r="F402" s="213">
        <v>35662</v>
      </c>
      <c r="G402">
        <v>3</v>
      </c>
      <c r="H402">
        <v>30.36</v>
      </c>
      <c r="I402" t="s">
        <v>1248</v>
      </c>
      <c r="J402" t="s">
        <v>1249</v>
      </c>
      <c r="K402" t="s">
        <v>1250</v>
      </c>
      <c r="M402">
        <v>67000</v>
      </c>
      <c r="N402" t="s">
        <v>824</v>
      </c>
    </row>
    <row r="403" spans="1:14">
      <c r="A403">
        <v>10629</v>
      </c>
      <c r="B403" t="s">
        <v>1340</v>
      </c>
      <c r="C403">
        <v>4</v>
      </c>
      <c r="D403" s="213">
        <v>35654</v>
      </c>
      <c r="E403" s="213">
        <v>35682</v>
      </c>
      <c r="F403" s="213">
        <v>35662</v>
      </c>
      <c r="G403">
        <v>3</v>
      </c>
      <c r="H403">
        <v>85.46</v>
      </c>
      <c r="I403" t="s">
        <v>1341</v>
      </c>
      <c r="J403" t="s">
        <v>1342</v>
      </c>
      <c r="K403" t="s">
        <v>1343</v>
      </c>
      <c r="M403">
        <v>41101</v>
      </c>
      <c r="N403" t="s">
        <v>1302</v>
      </c>
    </row>
    <row r="404" spans="1:14">
      <c r="A404">
        <v>10630</v>
      </c>
      <c r="B404" t="s">
        <v>1375</v>
      </c>
      <c r="C404">
        <v>1</v>
      </c>
      <c r="D404" s="213">
        <v>35655</v>
      </c>
      <c r="E404" s="213">
        <v>35683</v>
      </c>
      <c r="F404" s="213">
        <v>35661</v>
      </c>
      <c r="G404">
        <v>2</v>
      </c>
      <c r="H404">
        <v>32.35</v>
      </c>
      <c r="I404" t="s">
        <v>1376</v>
      </c>
      <c r="J404" t="s">
        <v>1377</v>
      </c>
      <c r="K404" t="s">
        <v>1378</v>
      </c>
      <c r="M404">
        <v>14776</v>
      </c>
      <c r="N404" t="s">
        <v>1184</v>
      </c>
    </row>
    <row r="405" spans="1:14">
      <c r="A405">
        <v>10631</v>
      </c>
      <c r="B405" t="s">
        <v>1415</v>
      </c>
      <c r="C405">
        <v>8</v>
      </c>
      <c r="D405" s="213">
        <v>35656</v>
      </c>
      <c r="E405" s="213">
        <v>35684</v>
      </c>
      <c r="F405" s="213">
        <v>35657</v>
      </c>
      <c r="G405">
        <v>1</v>
      </c>
      <c r="H405">
        <v>0.87</v>
      </c>
      <c r="I405" t="s">
        <v>1416</v>
      </c>
      <c r="J405" t="s">
        <v>1417</v>
      </c>
      <c r="K405" t="s">
        <v>1418</v>
      </c>
      <c r="M405">
        <v>31000</v>
      </c>
      <c r="N405" t="s">
        <v>824</v>
      </c>
    </row>
    <row r="406" spans="1:14">
      <c r="A406">
        <v>10632</v>
      </c>
      <c r="B406" t="s">
        <v>1336</v>
      </c>
      <c r="C406">
        <v>8</v>
      </c>
      <c r="D406" s="213">
        <v>35656</v>
      </c>
      <c r="E406" s="213">
        <v>35684</v>
      </c>
      <c r="F406" s="213">
        <v>35661</v>
      </c>
      <c r="G406">
        <v>1</v>
      </c>
      <c r="H406">
        <v>41.38</v>
      </c>
      <c r="I406" t="s">
        <v>1337</v>
      </c>
      <c r="J406" t="s">
        <v>1338</v>
      </c>
      <c r="K406" t="s">
        <v>1339</v>
      </c>
      <c r="M406">
        <v>70563</v>
      </c>
      <c r="N406" t="s">
        <v>1184</v>
      </c>
    </row>
    <row r="407" spans="1:14">
      <c r="A407">
        <v>10633</v>
      </c>
      <c r="B407" t="s">
        <v>1218</v>
      </c>
      <c r="C407">
        <v>7</v>
      </c>
      <c r="D407" s="213">
        <v>35657</v>
      </c>
      <c r="E407" s="213">
        <v>35685</v>
      </c>
      <c r="F407" s="213">
        <v>35660</v>
      </c>
      <c r="G407">
        <v>3</v>
      </c>
      <c r="H407">
        <v>477.9</v>
      </c>
      <c r="I407" t="s">
        <v>1219</v>
      </c>
      <c r="J407" t="s">
        <v>1220</v>
      </c>
      <c r="K407" t="s">
        <v>1221</v>
      </c>
      <c r="M407">
        <v>8010</v>
      </c>
      <c r="N407" t="s">
        <v>1222</v>
      </c>
    </row>
    <row r="408" spans="1:14">
      <c r="A408">
        <v>10634</v>
      </c>
      <c r="B408" t="s">
        <v>1484</v>
      </c>
      <c r="C408">
        <v>4</v>
      </c>
      <c r="D408" s="213">
        <v>35657</v>
      </c>
      <c r="E408" s="213">
        <v>35685</v>
      </c>
      <c r="F408" s="213">
        <v>35663</v>
      </c>
      <c r="G408">
        <v>3</v>
      </c>
      <c r="H408">
        <v>487.38</v>
      </c>
      <c r="I408" t="s">
        <v>1485</v>
      </c>
      <c r="J408" t="s">
        <v>1486</v>
      </c>
      <c r="K408" t="s">
        <v>1487</v>
      </c>
      <c r="M408">
        <v>59000</v>
      </c>
      <c r="N408" t="s">
        <v>824</v>
      </c>
    </row>
    <row r="409" spans="1:14">
      <c r="A409">
        <v>10635</v>
      </c>
      <c r="B409" t="s">
        <v>1278</v>
      </c>
      <c r="C409">
        <v>8</v>
      </c>
      <c r="D409" s="213">
        <v>35660</v>
      </c>
      <c r="E409" s="213">
        <v>35688</v>
      </c>
      <c r="F409" s="213">
        <v>35663</v>
      </c>
      <c r="G409">
        <v>3</v>
      </c>
      <c r="H409">
        <v>47.46</v>
      </c>
      <c r="I409" t="s">
        <v>1279</v>
      </c>
      <c r="J409" t="s">
        <v>1280</v>
      </c>
      <c r="K409" t="s">
        <v>1281</v>
      </c>
      <c r="M409">
        <v>24100</v>
      </c>
      <c r="N409" t="s">
        <v>827</v>
      </c>
    </row>
    <row r="410" spans="1:14">
      <c r="A410">
        <v>10636</v>
      </c>
      <c r="B410" t="s">
        <v>1251</v>
      </c>
      <c r="C410">
        <v>4</v>
      </c>
      <c r="D410" s="213">
        <v>35661</v>
      </c>
      <c r="E410" s="213">
        <v>35689</v>
      </c>
      <c r="F410" s="213">
        <v>35668</v>
      </c>
      <c r="G410">
        <v>1</v>
      </c>
      <c r="H410">
        <v>1.1499999999999999</v>
      </c>
      <c r="I410" t="s">
        <v>1252</v>
      </c>
      <c r="J410" t="s">
        <v>1253</v>
      </c>
      <c r="K410" t="s">
        <v>1254</v>
      </c>
      <c r="M410">
        <v>90110</v>
      </c>
      <c r="N410" t="s">
        <v>1255</v>
      </c>
    </row>
    <row r="411" spans="1:14">
      <c r="A411">
        <v>10637</v>
      </c>
      <c r="B411" t="s">
        <v>1453</v>
      </c>
      <c r="C411">
        <v>6</v>
      </c>
      <c r="D411" s="213">
        <v>35661</v>
      </c>
      <c r="E411" s="213">
        <v>35689</v>
      </c>
      <c r="F411" s="213">
        <v>35668</v>
      </c>
      <c r="G411">
        <v>1</v>
      </c>
      <c r="H411">
        <v>201.29</v>
      </c>
      <c r="I411" t="s">
        <v>1454</v>
      </c>
      <c r="J411" t="s">
        <v>1455</v>
      </c>
      <c r="K411" t="s">
        <v>983</v>
      </c>
      <c r="L411" t="s">
        <v>38</v>
      </c>
      <c r="M411" t="s">
        <v>1456</v>
      </c>
      <c r="N411" t="s">
        <v>831</v>
      </c>
    </row>
    <row r="412" spans="1:14">
      <c r="A412">
        <v>10638</v>
      </c>
      <c r="B412" t="s">
        <v>1479</v>
      </c>
      <c r="C412">
        <v>3</v>
      </c>
      <c r="D412" s="213">
        <v>35662</v>
      </c>
      <c r="E412" s="213">
        <v>35690</v>
      </c>
      <c r="F412" s="213">
        <v>35674</v>
      </c>
      <c r="G412">
        <v>1</v>
      </c>
      <c r="H412">
        <v>158.44</v>
      </c>
      <c r="I412" t="s">
        <v>1480</v>
      </c>
      <c r="J412" t="s">
        <v>1481</v>
      </c>
      <c r="K412" t="s">
        <v>1482</v>
      </c>
      <c r="L412" t="s">
        <v>1483</v>
      </c>
      <c r="M412">
        <v>4980</v>
      </c>
      <c r="N412" t="s">
        <v>1217</v>
      </c>
    </row>
    <row r="413" spans="1:14">
      <c r="A413">
        <v>10639</v>
      </c>
      <c r="B413" t="s">
        <v>1468</v>
      </c>
      <c r="C413">
        <v>7</v>
      </c>
      <c r="D413" s="213">
        <v>35662</v>
      </c>
      <c r="E413" s="213">
        <v>35690</v>
      </c>
      <c r="F413" s="213">
        <v>35669</v>
      </c>
      <c r="G413">
        <v>3</v>
      </c>
      <c r="H413">
        <v>38.64</v>
      </c>
      <c r="I413" t="s">
        <v>1469</v>
      </c>
      <c r="J413" t="s">
        <v>1470</v>
      </c>
      <c r="K413" t="s">
        <v>1471</v>
      </c>
      <c r="M413">
        <v>4110</v>
      </c>
      <c r="N413" t="s">
        <v>1472</v>
      </c>
    </row>
    <row r="414" spans="1:14">
      <c r="A414">
        <v>10640</v>
      </c>
      <c r="B414" t="s">
        <v>1336</v>
      </c>
      <c r="C414">
        <v>4</v>
      </c>
      <c r="D414" s="213">
        <v>35663</v>
      </c>
      <c r="E414" s="213">
        <v>35691</v>
      </c>
      <c r="F414" s="213">
        <v>35670</v>
      </c>
      <c r="G414">
        <v>1</v>
      </c>
      <c r="H414">
        <v>23.55</v>
      </c>
      <c r="I414" t="s">
        <v>1337</v>
      </c>
      <c r="J414" t="s">
        <v>1338</v>
      </c>
      <c r="K414" t="s">
        <v>1339</v>
      </c>
      <c r="M414">
        <v>70563</v>
      </c>
      <c r="N414" t="s">
        <v>1184</v>
      </c>
    </row>
    <row r="415" spans="1:14">
      <c r="A415">
        <v>10641</v>
      </c>
      <c r="B415" t="s">
        <v>1212</v>
      </c>
      <c r="C415">
        <v>4</v>
      </c>
      <c r="D415" s="213">
        <v>35664</v>
      </c>
      <c r="E415" s="213">
        <v>35692</v>
      </c>
      <c r="F415" s="213">
        <v>35668</v>
      </c>
      <c r="G415">
        <v>2</v>
      </c>
      <c r="H415">
        <v>179.61</v>
      </c>
      <c r="I415" t="s">
        <v>1213</v>
      </c>
      <c r="J415" t="s">
        <v>1214</v>
      </c>
      <c r="K415" t="s">
        <v>1215</v>
      </c>
      <c r="L415" t="s">
        <v>1216</v>
      </c>
      <c r="M415">
        <v>5022</v>
      </c>
      <c r="N415" t="s">
        <v>1217</v>
      </c>
    </row>
    <row r="416" spans="1:14">
      <c r="A416">
        <v>10642</v>
      </c>
      <c r="B416" t="s">
        <v>1406</v>
      </c>
      <c r="C416">
        <v>7</v>
      </c>
      <c r="D416" s="213">
        <v>35664</v>
      </c>
      <c r="E416" s="213">
        <v>35692</v>
      </c>
      <c r="F416" s="213">
        <v>35678</v>
      </c>
      <c r="G416">
        <v>3</v>
      </c>
      <c r="H416">
        <v>41.89</v>
      </c>
      <c r="I416" t="s">
        <v>1407</v>
      </c>
      <c r="J416" t="s">
        <v>1408</v>
      </c>
      <c r="K416" t="s">
        <v>1409</v>
      </c>
      <c r="M416">
        <v>1734</v>
      </c>
      <c r="N416" t="s">
        <v>1410</v>
      </c>
    </row>
    <row r="417" spans="1:14">
      <c r="A417">
        <v>10643</v>
      </c>
      <c r="B417" t="s">
        <v>1559</v>
      </c>
      <c r="C417">
        <v>6</v>
      </c>
      <c r="D417" s="213">
        <v>35667</v>
      </c>
      <c r="E417" s="213">
        <v>35695</v>
      </c>
      <c r="F417" s="213">
        <v>35675</v>
      </c>
      <c r="G417">
        <v>1</v>
      </c>
      <c r="H417">
        <v>29.46</v>
      </c>
      <c r="I417" t="s">
        <v>1560</v>
      </c>
      <c r="J417" t="s">
        <v>1561</v>
      </c>
      <c r="K417" t="s">
        <v>1562</v>
      </c>
      <c r="M417">
        <v>12209</v>
      </c>
      <c r="N417" t="s">
        <v>1184</v>
      </c>
    </row>
    <row r="418" spans="1:14">
      <c r="A418">
        <v>10644</v>
      </c>
      <c r="B418" t="s">
        <v>1207</v>
      </c>
      <c r="C418">
        <v>3</v>
      </c>
      <c r="D418" s="213">
        <v>35667</v>
      </c>
      <c r="E418" s="213">
        <v>35695</v>
      </c>
      <c r="F418" s="213">
        <v>35674</v>
      </c>
      <c r="G418">
        <v>2</v>
      </c>
      <c r="H418">
        <v>0.14000000000000001</v>
      </c>
      <c r="I418" t="s">
        <v>1208</v>
      </c>
      <c r="J418" t="s">
        <v>1209</v>
      </c>
      <c r="K418" t="s">
        <v>1210</v>
      </c>
      <c r="L418" t="s">
        <v>38</v>
      </c>
      <c r="M418" t="s">
        <v>1211</v>
      </c>
      <c r="N418" t="s">
        <v>831</v>
      </c>
    </row>
    <row r="419" spans="1:14">
      <c r="A419">
        <v>10645</v>
      </c>
      <c r="B419" t="s">
        <v>1185</v>
      </c>
      <c r="C419">
        <v>4</v>
      </c>
      <c r="D419" s="213">
        <v>35668</v>
      </c>
      <c r="E419" s="213">
        <v>35696</v>
      </c>
      <c r="F419" s="213">
        <v>35675</v>
      </c>
      <c r="G419">
        <v>1</v>
      </c>
      <c r="H419">
        <v>12.41</v>
      </c>
      <c r="I419" t="s">
        <v>1186</v>
      </c>
      <c r="J419" t="s">
        <v>1187</v>
      </c>
      <c r="K419" t="s">
        <v>1158</v>
      </c>
      <c r="L419" t="s">
        <v>57</v>
      </c>
      <c r="M419" t="s">
        <v>1188</v>
      </c>
      <c r="N419" t="s">
        <v>831</v>
      </c>
    </row>
    <row r="420" spans="1:14">
      <c r="A420">
        <v>10646</v>
      </c>
      <c r="B420" t="s">
        <v>1330</v>
      </c>
      <c r="C420">
        <v>9</v>
      </c>
      <c r="D420" s="213">
        <v>35669</v>
      </c>
      <c r="E420" s="213">
        <v>35711</v>
      </c>
      <c r="F420" s="213">
        <v>35676</v>
      </c>
      <c r="G420">
        <v>3</v>
      </c>
      <c r="H420">
        <v>142.33000000000001</v>
      </c>
      <c r="I420" t="s">
        <v>1331</v>
      </c>
      <c r="J420" t="s">
        <v>1332</v>
      </c>
      <c r="K420" t="s">
        <v>1333</v>
      </c>
      <c r="L420" t="s">
        <v>1334</v>
      </c>
      <c r="N420" t="s">
        <v>1335</v>
      </c>
    </row>
    <row r="421" spans="1:14">
      <c r="A421">
        <v>10647</v>
      </c>
      <c r="B421" t="s">
        <v>1232</v>
      </c>
      <c r="C421">
        <v>4</v>
      </c>
      <c r="D421" s="213">
        <v>35669</v>
      </c>
      <c r="E421" s="213">
        <v>35683</v>
      </c>
      <c r="F421" s="213">
        <v>35676</v>
      </c>
      <c r="G421">
        <v>2</v>
      </c>
      <c r="H421">
        <v>45.54</v>
      </c>
      <c r="I421" t="s">
        <v>1233</v>
      </c>
      <c r="J421" t="s">
        <v>1234</v>
      </c>
      <c r="K421" t="s">
        <v>1158</v>
      </c>
      <c r="L421" t="s">
        <v>57</v>
      </c>
      <c r="M421" t="s">
        <v>1235</v>
      </c>
      <c r="N421" t="s">
        <v>831</v>
      </c>
    </row>
    <row r="422" spans="1:14">
      <c r="A422">
        <v>10648</v>
      </c>
      <c r="B422" t="s">
        <v>1308</v>
      </c>
      <c r="C422">
        <v>5</v>
      </c>
      <c r="D422" s="213">
        <v>35670</v>
      </c>
      <c r="E422" s="213">
        <v>35712</v>
      </c>
      <c r="F422" s="213">
        <v>35682</v>
      </c>
      <c r="G422">
        <v>2</v>
      </c>
      <c r="H422">
        <v>14.25</v>
      </c>
      <c r="I422" t="s">
        <v>1309</v>
      </c>
      <c r="J422" t="s">
        <v>1310</v>
      </c>
      <c r="K422" t="s">
        <v>1158</v>
      </c>
      <c r="L422" t="s">
        <v>57</v>
      </c>
      <c r="M422" t="s">
        <v>1311</v>
      </c>
      <c r="N422" t="s">
        <v>831</v>
      </c>
    </row>
    <row r="423" spans="1:14">
      <c r="A423">
        <v>10649</v>
      </c>
      <c r="B423" t="s">
        <v>1535</v>
      </c>
      <c r="C423">
        <v>5</v>
      </c>
      <c r="D423" s="213">
        <v>35670</v>
      </c>
      <c r="E423" s="213">
        <v>35698</v>
      </c>
      <c r="F423" s="213">
        <v>35671</v>
      </c>
      <c r="G423">
        <v>3</v>
      </c>
      <c r="H423">
        <v>6.2</v>
      </c>
      <c r="I423" t="s">
        <v>1536</v>
      </c>
      <c r="J423" t="s">
        <v>1537</v>
      </c>
      <c r="K423" t="s">
        <v>1538</v>
      </c>
      <c r="M423" t="s">
        <v>1539</v>
      </c>
      <c r="N423" t="s">
        <v>833</v>
      </c>
    </row>
    <row r="424" spans="1:14">
      <c r="A424">
        <v>10650</v>
      </c>
      <c r="B424" t="s">
        <v>1411</v>
      </c>
      <c r="C424">
        <v>5</v>
      </c>
      <c r="D424" s="213">
        <v>35671</v>
      </c>
      <c r="E424" s="213">
        <v>35699</v>
      </c>
      <c r="F424" s="213">
        <v>35676</v>
      </c>
      <c r="G424">
        <v>3</v>
      </c>
      <c r="H424">
        <v>176.81</v>
      </c>
      <c r="I424" t="s">
        <v>1412</v>
      </c>
      <c r="J424" t="s">
        <v>1413</v>
      </c>
      <c r="K424" t="s">
        <v>983</v>
      </c>
      <c r="L424" t="s">
        <v>38</v>
      </c>
      <c r="M424" t="s">
        <v>1414</v>
      </c>
      <c r="N424" t="s">
        <v>831</v>
      </c>
    </row>
    <row r="425" spans="1:14">
      <c r="A425">
        <v>10651</v>
      </c>
      <c r="B425" t="s">
        <v>1336</v>
      </c>
      <c r="C425">
        <v>8</v>
      </c>
      <c r="D425" s="213">
        <v>35674</v>
      </c>
      <c r="E425" s="213">
        <v>35702</v>
      </c>
      <c r="F425" s="213">
        <v>35684</v>
      </c>
      <c r="G425">
        <v>2</v>
      </c>
      <c r="H425">
        <v>20.6</v>
      </c>
      <c r="I425" t="s">
        <v>1337</v>
      </c>
      <c r="J425" t="s">
        <v>1338</v>
      </c>
      <c r="K425" t="s">
        <v>1339</v>
      </c>
      <c r="M425">
        <v>70563</v>
      </c>
      <c r="N425" t="s">
        <v>1184</v>
      </c>
    </row>
    <row r="426" spans="1:14">
      <c r="A426">
        <v>10652</v>
      </c>
      <c r="B426" t="s">
        <v>1498</v>
      </c>
      <c r="C426">
        <v>4</v>
      </c>
      <c r="D426" s="213">
        <v>35674</v>
      </c>
      <c r="E426" s="213">
        <v>35702</v>
      </c>
      <c r="F426" s="213">
        <v>35681</v>
      </c>
      <c r="G426">
        <v>2</v>
      </c>
      <c r="H426">
        <v>7.14</v>
      </c>
      <c r="I426" t="s">
        <v>1499</v>
      </c>
      <c r="J426" t="s">
        <v>1500</v>
      </c>
      <c r="K426" t="s">
        <v>937</v>
      </c>
      <c r="L426" t="s">
        <v>38</v>
      </c>
      <c r="M426" t="s">
        <v>1501</v>
      </c>
      <c r="N426" t="s">
        <v>831</v>
      </c>
    </row>
    <row r="427" spans="1:14">
      <c r="A427">
        <v>10653</v>
      </c>
      <c r="B427" t="s">
        <v>1256</v>
      </c>
      <c r="C427">
        <v>1</v>
      </c>
      <c r="D427" s="213">
        <v>35675</v>
      </c>
      <c r="E427" s="213">
        <v>35703</v>
      </c>
      <c r="F427" s="213">
        <v>35692</v>
      </c>
      <c r="G427">
        <v>1</v>
      </c>
      <c r="H427">
        <v>93.25</v>
      </c>
      <c r="I427" t="s">
        <v>1257</v>
      </c>
      <c r="J427" t="s">
        <v>1258</v>
      </c>
      <c r="K427" t="s">
        <v>1259</v>
      </c>
      <c r="M427">
        <v>80805</v>
      </c>
      <c r="N427" t="s">
        <v>1184</v>
      </c>
    </row>
    <row r="428" spans="1:14">
      <c r="A428">
        <v>10654</v>
      </c>
      <c r="B428" t="s">
        <v>1289</v>
      </c>
      <c r="C428">
        <v>5</v>
      </c>
      <c r="D428" s="213">
        <v>35675</v>
      </c>
      <c r="E428" s="213">
        <v>35703</v>
      </c>
      <c r="F428" s="213">
        <v>35684</v>
      </c>
      <c r="G428">
        <v>1</v>
      </c>
      <c r="H428">
        <v>55.26</v>
      </c>
      <c r="I428" t="s">
        <v>1290</v>
      </c>
      <c r="J428" t="s">
        <v>1291</v>
      </c>
      <c r="K428" t="s">
        <v>1292</v>
      </c>
      <c r="M428" t="s">
        <v>1293</v>
      </c>
      <c r="N428" t="s">
        <v>829</v>
      </c>
    </row>
    <row r="429" spans="1:14">
      <c r="A429">
        <v>10655</v>
      </c>
      <c r="B429" t="s">
        <v>1312</v>
      </c>
      <c r="C429">
        <v>1</v>
      </c>
      <c r="D429" s="213">
        <v>35676</v>
      </c>
      <c r="E429" s="213">
        <v>35704</v>
      </c>
      <c r="F429" s="213">
        <v>35684</v>
      </c>
      <c r="G429">
        <v>2</v>
      </c>
      <c r="H429">
        <v>4.41</v>
      </c>
      <c r="I429" t="s">
        <v>1313</v>
      </c>
      <c r="J429" t="s">
        <v>1314</v>
      </c>
      <c r="K429" t="s">
        <v>1315</v>
      </c>
      <c r="M429">
        <v>42100</v>
      </c>
      <c r="N429" t="s">
        <v>827</v>
      </c>
    </row>
    <row r="430" spans="1:14">
      <c r="A430">
        <v>10656</v>
      </c>
      <c r="B430" t="s">
        <v>1531</v>
      </c>
      <c r="C430">
        <v>6</v>
      </c>
      <c r="D430" s="213">
        <v>35677</v>
      </c>
      <c r="E430" s="213">
        <v>35705</v>
      </c>
      <c r="F430" s="213">
        <v>35683</v>
      </c>
      <c r="G430">
        <v>1</v>
      </c>
      <c r="H430">
        <v>57.15</v>
      </c>
      <c r="I430" t="s">
        <v>1532</v>
      </c>
      <c r="J430" t="s">
        <v>1533</v>
      </c>
      <c r="K430" t="s">
        <v>1534</v>
      </c>
      <c r="L430" t="s">
        <v>1353</v>
      </c>
      <c r="M430">
        <v>97403</v>
      </c>
      <c r="N430" t="s">
        <v>1241</v>
      </c>
    </row>
    <row r="431" spans="1:14">
      <c r="A431">
        <v>10657</v>
      </c>
      <c r="B431" t="s">
        <v>1379</v>
      </c>
      <c r="C431">
        <v>2</v>
      </c>
      <c r="D431" s="213">
        <v>35677</v>
      </c>
      <c r="E431" s="213">
        <v>35705</v>
      </c>
      <c r="F431" s="213">
        <v>35688</v>
      </c>
      <c r="G431">
        <v>2</v>
      </c>
      <c r="H431">
        <v>352.69</v>
      </c>
      <c r="I431" t="s">
        <v>1380</v>
      </c>
      <c r="J431" t="s">
        <v>1381</v>
      </c>
      <c r="K431" t="s">
        <v>1382</v>
      </c>
      <c r="L431" t="s">
        <v>1383</v>
      </c>
      <c r="M431">
        <v>83720</v>
      </c>
      <c r="N431" t="s">
        <v>1241</v>
      </c>
    </row>
    <row r="432" spans="1:14">
      <c r="A432">
        <v>10658</v>
      </c>
      <c r="B432" t="s">
        <v>1274</v>
      </c>
      <c r="C432">
        <v>4</v>
      </c>
      <c r="D432" s="213">
        <v>35678</v>
      </c>
      <c r="E432" s="213">
        <v>35706</v>
      </c>
      <c r="F432" s="213">
        <v>35681</v>
      </c>
      <c r="G432">
        <v>1</v>
      </c>
      <c r="H432">
        <v>364.15</v>
      </c>
      <c r="I432" t="s">
        <v>1275</v>
      </c>
      <c r="J432" t="s">
        <v>1276</v>
      </c>
      <c r="K432" t="s">
        <v>1277</v>
      </c>
      <c r="M432">
        <v>1307</v>
      </c>
      <c r="N432" t="s">
        <v>1184</v>
      </c>
    </row>
    <row r="433" spans="1:14">
      <c r="A433">
        <v>10659</v>
      </c>
      <c r="B433" t="s">
        <v>1453</v>
      </c>
      <c r="C433">
        <v>7</v>
      </c>
      <c r="D433" s="213">
        <v>35678</v>
      </c>
      <c r="E433" s="213">
        <v>35706</v>
      </c>
      <c r="F433" s="213">
        <v>35683</v>
      </c>
      <c r="G433">
        <v>2</v>
      </c>
      <c r="H433">
        <v>105.81</v>
      </c>
      <c r="I433" t="s">
        <v>1454</v>
      </c>
      <c r="J433" t="s">
        <v>1455</v>
      </c>
      <c r="K433" t="s">
        <v>983</v>
      </c>
      <c r="L433" t="s">
        <v>38</v>
      </c>
      <c r="M433" t="s">
        <v>1456</v>
      </c>
      <c r="N433" t="s">
        <v>831</v>
      </c>
    </row>
    <row r="434" spans="1:14">
      <c r="A434">
        <v>10660</v>
      </c>
      <c r="B434" t="s">
        <v>1463</v>
      </c>
      <c r="C434">
        <v>8</v>
      </c>
      <c r="D434" s="213">
        <v>35681</v>
      </c>
      <c r="E434" s="213">
        <v>35709</v>
      </c>
      <c r="F434" s="213">
        <v>35718</v>
      </c>
      <c r="G434">
        <v>1</v>
      </c>
      <c r="H434">
        <v>111.29</v>
      </c>
      <c r="I434" t="s">
        <v>1464</v>
      </c>
      <c r="J434" t="s">
        <v>1465</v>
      </c>
    </row>
    <row r="435" spans="1:14">
      <c r="A435" t="s">
        <v>1466</v>
      </c>
      <c r="B435" t="s">
        <v>1467</v>
      </c>
      <c r="C435" t="s">
        <v>1353</v>
      </c>
      <c r="D435">
        <v>97827</v>
      </c>
      <c r="E435" t="s">
        <v>1241</v>
      </c>
    </row>
    <row r="436" spans="1:14">
      <c r="A436">
        <v>10661</v>
      </c>
      <c r="B436" t="s">
        <v>1330</v>
      </c>
      <c r="C436">
        <v>7</v>
      </c>
      <c r="D436" s="213">
        <v>35682</v>
      </c>
      <c r="E436" s="213">
        <v>35710</v>
      </c>
      <c r="F436" s="213">
        <v>35688</v>
      </c>
      <c r="G436">
        <v>3</v>
      </c>
      <c r="H436">
        <v>17.55</v>
      </c>
      <c r="I436" t="s">
        <v>1331</v>
      </c>
      <c r="J436" t="s">
        <v>1332</v>
      </c>
      <c r="K436" t="s">
        <v>1333</v>
      </c>
      <c r="L436" t="s">
        <v>1334</v>
      </c>
      <c r="N436" t="s">
        <v>1335</v>
      </c>
    </row>
    <row r="437" spans="1:14">
      <c r="A437">
        <v>10662</v>
      </c>
      <c r="B437" t="s">
        <v>1349</v>
      </c>
      <c r="C437">
        <v>3</v>
      </c>
      <c r="D437" s="213">
        <v>35682</v>
      </c>
      <c r="E437" s="213">
        <v>35710</v>
      </c>
      <c r="F437" s="213">
        <v>35691</v>
      </c>
      <c r="G437">
        <v>2</v>
      </c>
      <c r="H437">
        <v>1.28</v>
      </c>
      <c r="I437" t="s">
        <v>1350</v>
      </c>
      <c r="J437" t="s">
        <v>1351</v>
      </c>
      <c r="K437" t="s">
        <v>1352</v>
      </c>
      <c r="L437" t="s">
        <v>1353</v>
      </c>
      <c r="M437">
        <v>97219</v>
      </c>
      <c r="N437" t="s">
        <v>1241</v>
      </c>
    </row>
    <row r="438" spans="1:14">
      <c r="A438">
        <v>10663</v>
      </c>
      <c r="B438" t="s">
        <v>1392</v>
      </c>
      <c r="C438">
        <v>2</v>
      </c>
      <c r="D438" s="213">
        <v>35683</v>
      </c>
      <c r="E438" s="213">
        <v>35697</v>
      </c>
      <c r="F438" s="213">
        <v>35706</v>
      </c>
      <c r="G438">
        <v>2</v>
      </c>
      <c r="H438">
        <v>113.15</v>
      </c>
      <c r="I438" t="s">
        <v>1393</v>
      </c>
      <c r="J438" t="s">
        <v>1394</v>
      </c>
      <c r="K438" t="s">
        <v>1395</v>
      </c>
      <c r="M438">
        <v>13008</v>
      </c>
      <c r="N438" t="s">
        <v>824</v>
      </c>
    </row>
    <row r="439" spans="1:14">
      <c r="A439">
        <v>10664</v>
      </c>
      <c r="B439" t="s">
        <v>1387</v>
      </c>
      <c r="C439">
        <v>1</v>
      </c>
      <c r="D439" s="213">
        <v>35683</v>
      </c>
      <c r="E439" s="213">
        <v>35711</v>
      </c>
      <c r="F439" s="213">
        <v>35692</v>
      </c>
      <c r="G439">
        <v>3</v>
      </c>
      <c r="H439">
        <v>1.27</v>
      </c>
      <c r="I439" t="s">
        <v>1388</v>
      </c>
      <c r="J439" t="s">
        <v>1389</v>
      </c>
      <c r="K439" t="s">
        <v>1390</v>
      </c>
      <c r="M439">
        <v>1675</v>
      </c>
      <c r="N439" t="s">
        <v>1391</v>
      </c>
    </row>
    <row r="440" spans="1:14">
      <c r="A440">
        <v>10665</v>
      </c>
      <c r="B440" t="s">
        <v>1349</v>
      </c>
      <c r="C440">
        <v>1</v>
      </c>
      <c r="D440" s="213">
        <v>35684</v>
      </c>
      <c r="E440" s="213">
        <v>35712</v>
      </c>
      <c r="F440" s="213">
        <v>35690</v>
      </c>
      <c r="G440">
        <v>2</v>
      </c>
      <c r="H440">
        <v>26.31</v>
      </c>
      <c r="I440" t="s">
        <v>1350</v>
      </c>
      <c r="J440" t="s">
        <v>1351</v>
      </c>
      <c r="K440" t="s">
        <v>1352</v>
      </c>
      <c r="L440" t="s">
        <v>1353</v>
      </c>
      <c r="M440">
        <v>97219</v>
      </c>
      <c r="N440" t="s">
        <v>1241</v>
      </c>
    </row>
    <row r="441" spans="1:14">
      <c r="A441">
        <v>10666</v>
      </c>
      <c r="B441" t="s">
        <v>1203</v>
      </c>
      <c r="C441">
        <v>7</v>
      </c>
      <c r="D441" s="213">
        <v>35685</v>
      </c>
      <c r="E441" s="213">
        <v>35713</v>
      </c>
      <c r="F441" s="213">
        <v>35695</v>
      </c>
      <c r="G441">
        <v>2</v>
      </c>
      <c r="H441">
        <v>232.42</v>
      </c>
      <c r="I441" t="s">
        <v>1204</v>
      </c>
      <c r="J441" t="s">
        <v>1205</v>
      </c>
      <c r="K441" t="s">
        <v>1206</v>
      </c>
      <c r="M441">
        <v>1204</v>
      </c>
      <c r="N441" t="s">
        <v>1202</v>
      </c>
    </row>
    <row r="442" spans="1:14">
      <c r="A442">
        <v>10667</v>
      </c>
      <c r="B442" t="s">
        <v>1218</v>
      </c>
      <c r="C442">
        <v>7</v>
      </c>
      <c r="D442" s="213">
        <v>35685</v>
      </c>
      <c r="E442" s="213">
        <v>35713</v>
      </c>
      <c r="F442" s="213">
        <v>35692</v>
      </c>
      <c r="G442">
        <v>1</v>
      </c>
      <c r="H442">
        <v>78.09</v>
      </c>
      <c r="I442" t="s">
        <v>1219</v>
      </c>
      <c r="J442" t="s">
        <v>1220</v>
      </c>
      <c r="K442" t="s">
        <v>1221</v>
      </c>
      <c r="M442">
        <v>8010</v>
      </c>
      <c r="N442" t="s">
        <v>1222</v>
      </c>
    </row>
    <row r="443" spans="1:14">
      <c r="A443">
        <v>10668</v>
      </c>
      <c r="B443" t="s">
        <v>1336</v>
      </c>
      <c r="C443">
        <v>1</v>
      </c>
      <c r="D443" s="213">
        <v>35688</v>
      </c>
      <c r="E443" s="213">
        <v>35716</v>
      </c>
      <c r="F443" s="213">
        <v>35696</v>
      </c>
      <c r="G443">
        <v>2</v>
      </c>
      <c r="H443">
        <v>47.22</v>
      </c>
      <c r="I443" t="s">
        <v>1337</v>
      </c>
      <c r="J443" t="s">
        <v>1338</v>
      </c>
      <c r="K443" t="s">
        <v>1339</v>
      </c>
      <c r="M443">
        <v>70563</v>
      </c>
      <c r="N443" t="s">
        <v>1184</v>
      </c>
    </row>
    <row r="444" spans="1:14">
      <c r="A444">
        <v>10669</v>
      </c>
      <c r="B444" t="s">
        <v>1406</v>
      </c>
      <c r="C444">
        <v>2</v>
      </c>
      <c r="D444" s="213">
        <v>35688</v>
      </c>
      <c r="E444" s="213">
        <v>35716</v>
      </c>
      <c r="F444" s="213">
        <v>35695</v>
      </c>
      <c r="G444">
        <v>1</v>
      </c>
      <c r="H444">
        <v>24.39</v>
      </c>
      <c r="I444" t="s">
        <v>1407</v>
      </c>
      <c r="J444" t="s">
        <v>1408</v>
      </c>
      <c r="K444" t="s">
        <v>1409</v>
      </c>
      <c r="M444">
        <v>1734</v>
      </c>
      <c r="N444" t="s">
        <v>1410</v>
      </c>
    </row>
    <row r="445" spans="1:14">
      <c r="A445">
        <v>10670</v>
      </c>
      <c r="B445" t="s">
        <v>1256</v>
      </c>
      <c r="C445">
        <v>4</v>
      </c>
      <c r="D445" s="213">
        <v>35689</v>
      </c>
      <c r="E445" s="213">
        <v>35717</v>
      </c>
      <c r="F445" s="213">
        <v>35691</v>
      </c>
      <c r="G445">
        <v>1</v>
      </c>
      <c r="H445">
        <v>203.48</v>
      </c>
      <c r="I445" t="s">
        <v>1257</v>
      </c>
      <c r="J445" t="s">
        <v>1258</v>
      </c>
      <c r="K445" t="s">
        <v>1259</v>
      </c>
      <c r="M445">
        <v>80805</v>
      </c>
      <c r="N445" t="s">
        <v>1184</v>
      </c>
    </row>
    <row r="446" spans="1:14">
      <c r="A446">
        <v>10671</v>
      </c>
      <c r="B446" t="s">
        <v>1563</v>
      </c>
      <c r="C446">
        <v>1</v>
      </c>
      <c r="D446" s="213">
        <v>35690</v>
      </c>
      <c r="E446" s="213">
        <v>35718</v>
      </c>
      <c r="F446" s="213">
        <v>35697</v>
      </c>
      <c r="G446">
        <v>1</v>
      </c>
      <c r="H446">
        <v>30.34</v>
      </c>
      <c r="I446" t="s">
        <v>1564</v>
      </c>
      <c r="J446" t="s">
        <v>1565</v>
      </c>
      <c r="K446" t="s">
        <v>1364</v>
      </c>
      <c r="M446">
        <v>44000</v>
      </c>
      <c r="N446" t="s">
        <v>824</v>
      </c>
    </row>
    <row r="447" spans="1:14">
      <c r="A447">
        <v>10672</v>
      </c>
      <c r="B447" t="s">
        <v>1289</v>
      </c>
      <c r="C447">
        <v>9</v>
      </c>
      <c r="D447" s="213">
        <v>35690</v>
      </c>
      <c r="E447" s="213">
        <v>35704</v>
      </c>
      <c r="F447" s="213">
        <v>35699</v>
      </c>
      <c r="G447">
        <v>2</v>
      </c>
      <c r="H447">
        <v>95.75</v>
      </c>
      <c r="I447" t="s">
        <v>1290</v>
      </c>
      <c r="J447" t="s">
        <v>1291</v>
      </c>
      <c r="K447" t="s">
        <v>1292</v>
      </c>
      <c r="M447" t="s">
        <v>1293</v>
      </c>
      <c r="N447" t="s">
        <v>829</v>
      </c>
    </row>
    <row r="448" spans="1:14">
      <c r="A448">
        <v>10673</v>
      </c>
      <c r="B448" t="s">
        <v>1550</v>
      </c>
      <c r="C448">
        <v>2</v>
      </c>
      <c r="D448" s="213">
        <v>35691</v>
      </c>
      <c r="E448" s="213">
        <v>35719</v>
      </c>
      <c r="F448" s="213">
        <v>35692</v>
      </c>
      <c r="G448">
        <v>1</v>
      </c>
      <c r="H448">
        <v>22.76</v>
      </c>
      <c r="I448" t="s">
        <v>1551</v>
      </c>
      <c r="J448" t="s">
        <v>1552</v>
      </c>
      <c r="K448" t="s">
        <v>1553</v>
      </c>
      <c r="M448">
        <v>21240</v>
      </c>
      <c r="N448" t="s">
        <v>1255</v>
      </c>
    </row>
    <row r="449" spans="1:14">
      <c r="A449">
        <v>10674</v>
      </c>
      <c r="B449" t="s">
        <v>1365</v>
      </c>
      <c r="C449">
        <v>4</v>
      </c>
      <c r="D449" s="213">
        <v>35691</v>
      </c>
      <c r="E449" s="213">
        <v>35719</v>
      </c>
      <c r="F449" s="213">
        <v>35703</v>
      </c>
      <c r="G449">
        <v>2</v>
      </c>
      <c r="H449">
        <v>0.9</v>
      </c>
      <c r="I449" t="s">
        <v>1366</v>
      </c>
      <c r="J449" t="s">
        <v>1367</v>
      </c>
    </row>
    <row r="450" spans="1:14">
      <c r="A450" t="s">
        <v>1368</v>
      </c>
      <c r="B450" t="s">
        <v>1369</v>
      </c>
      <c r="C450" t="s">
        <v>1370</v>
      </c>
      <c r="D450" t="s">
        <v>1371</v>
      </c>
      <c r="E450" t="s">
        <v>1321</v>
      </c>
    </row>
    <row r="451" spans="1:14">
      <c r="A451">
        <v>10675</v>
      </c>
      <c r="B451" t="s">
        <v>1256</v>
      </c>
      <c r="C451">
        <v>5</v>
      </c>
      <c r="D451" s="213">
        <v>35692</v>
      </c>
      <c r="E451" s="213">
        <v>35720</v>
      </c>
      <c r="F451" s="213">
        <v>35696</v>
      </c>
      <c r="G451">
        <v>2</v>
      </c>
      <c r="H451">
        <v>31.85</v>
      </c>
      <c r="I451" t="s">
        <v>1257</v>
      </c>
      <c r="J451" t="s">
        <v>1258</v>
      </c>
      <c r="K451" t="s">
        <v>1259</v>
      </c>
      <c r="M451">
        <v>80805</v>
      </c>
      <c r="N451" t="s">
        <v>1184</v>
      </c>
    </row>
    <row r="452" spans="1:14">
      <c r="A452">
        <v>10676</v>
      </c>
      <c r="B452" t="s">
        <v>1282</v>
      </c>
      <c r="C452">
        <v>2</v>
      </c>
      <c r="D452" s="213">
        <v>35695</v>
      </c>
      <c r="E452" s="213">
        <v>35723</v>
      </c>
      <c r="F452" s="213">
        <v>35702</v>
      </c>
      <c r="G452">
        <v>2</v>
      </c>
      <c r="H452">
        <v>2.0099999999999998</v>
      </c>
      <c r="I452" t="s">
        <v>1283</v>
      </c>
      <c r="J452" t="s">
        <v>1284</v>
      </c>
      <c r="K452" t="s">
        <v>1226</v>
      </c>
      <c r="M452">
        <v>5033</v>
      </c>
      <c r="N452" t="s">
        <v>1227</v>
      </c>
    </row>
    <row r="453" spans="1:14">
      <c r="A453">
        <v>10677</v>
      </c>
      <c r="B453" t="s">
        <v>1442</v>
      </c>
      <c r="C453">
        <v>1</v>
      </c>
      <c r="D453" s="213">
        <v>35695</v>
      </c>
      <c r="E453" s="213">
        <v>35723</v>
      </c>
      <c r="F453" s="213">
        <v>35699</v>
      </c>
      <c r="G453">
        <v>3</v>
      </c>
      <c r="H453">
        <v>4.03</v>
      </c>
      <c r="I453" t="s">
        <v>1443</v>
      </c>
      <c r="J453" t="s">
        <v>1444</v>
      </c>
      <c r="K453" t="s">
        <v>1226</v>
      </c>
      <c r="M453">
        <v>5023</v>
      </c>
      <c r="N453" t="s">
        <v>1227</v>
      </c>
    </row>
    <row r="454" spans="1:14">
      <c r="A454">
        <v>10678</v>
      </c>
      <c r="B454" t="s">
        <v>1379</v>
      </c>
      <c r="C454">
        <v>7</v>
      </c>
      <c r="D454" s="213">
        <v>35696</v>
      </c>
      <c r="E454" s="213">
        <v>35724</v>
      </c>
      <c r="F454" s="213">
        <v>35719</v>
      </c>
      <c r="G454">
        <v>3</v>
      </c>
      <c r="H454">
        <v>388.98</v>
      </c>
      <c r="I454" t="s">
        <v>1380</v>
      </c>
      <c r="J454" t="s">
        <v>1381</v>
      </c>
      <c r="K454" t="s">
        <v>1382</v>
      </c>
      <c r="L454" t="s">
        <v>1383</v>
      </c>
      <c r="M454">
        <v>83720</v>
      </c>
      <c r="N454" t="s">
        <v>1241</v>
      </c>
    </row>
    <row r="455" spans="1:14">
      <c r="A455">
        <v>10679</v>
      </c>
      <c r="B455" t="s">
        <v>1247</v>
      </c>
      <c r="C455">
        <v>8</v>
      </c>
      <c r="D455" s="213">
        <v>35696</v>
      </c>
      <c r="E455" s="213">
        <v>35724</v>
      </c>
      <c r="F455" s="213">
        <v>35703</v>
      </c>
      <c r="G455">
        <v>3</v>
      </c>
      <c r="H455">
        <v>27.94</v>
      </c>
      <c r="I455" t="s">
        <v>1248</v>
      </c>
      <c r="J455" t="s">
        <v>1249</v>
      </c>
      <c r="K455" t="s">
        <v>1250</v>
      </c>
      <c r="M455">
        <v>67000</v>
      </c>
      <c r="N455" t="s">
        <v>824</v>
      </c>
    </row>
    <row r="456" spans="1:14">
      <c r="A456">
        <v>10680</v>
      </c>
      <c r="B456" t="s">
        <v>1344</v>
      </c>
      <c r="C456">
        <v>1</v>
      </c>
      <c r="D456" s="213">
        <v>35697</v>
      </c>
      <c r="E456" s="213">
        <v>35725</v>
      </c>
      <c r="F456" s="213">
        <v>35699</v>
      </c>
      <c r="G456">
        <v>1</v>
      </c>
      <c r="H456">
        <v>26.61</v>
      </c>
      <c r="I456" t="s">
        <v>1345</v>
      </c>
      <c r="J456" t="s">
        <v>1346</v>
      </c>
      <c r="K456" t="s">
        <v>1347</v>
      </c>
      <c r="L456" t="s">
        <v>1348</v>
      </c>
      <c r="M456">
        <v>99508</v>
      </c>
      <c r="N456" t="s">
        <v>1241</v>
      </c>
    </row>
    <row r="457" spans="1:14">
      <c r="A457">
        <v>10681</v>
      </c>
      <c r="B457" t="s">
        <v>1531</v>
      </c>
      <c r="C457">
        <v>3</v>
      </c>
      <c r="D457" s="213">
        <v>35698</v>
      </c>
      <c r="E457" s="213">
        <v>35726</v>
      </c>
      <c r="F457" s="213">
        <v>35703</v>
      </c>
      <c r="G457">
        <v>3</v>
      </c>
      <c r="H457">
        <v>76.13</v>
      </c>
      <c r="I457" t="s">
        <v>1532</v>
      </c>
      <c r="J457" t="s">
        <v>1533</v>
      </c>
      <c r="K457" t="s">
        <v>1534</v>
      </c>
      <c r="L457" t="s">
        <v>1353</v>
      </c>
      <c r="M457">
        <v>97403</v>
      </c>
      <c r="N457" t="s">
        <v>1241</v>
      </c>
    </row>
    <row r="458" spans="1:14">
      <c r="A458">
        <v>10682</v>
      </c>
      <c r="B458" t="s">
        <v>1442</v>
      </c>
      <c r="C458">
        <v>3</v>
      </c>
      <c r="D458" s="213">
        <v>35698</v>
      </c>
      <c r="E458" s="213">
        <v>35726</v>
      </c>
      <c r="F458" s="213">
        <v>35704</v>
      </c>
      <c r="G458">
        <v>2</v>
      </c>
      <c r="H458">
        <v>36.130000000000003</v>
      </c>
      <c r="I458" t="s">
        <v>1443</v>
      </c>
      <c r="J458" t="s">
        <v>1444</v>
      </c>
      <c r="K458" t="s">
        <v>1226</v>
      </c>
      <c r="M458">
        <v>5023</v>
      </c>
      <c r="N458" t="s">
        <v>1227</v>
      </c>
    </row>
    <row r="459" spans="1:14">
      <c r="A459">
        <v>10683</v>
      </c>
      <c r="B459" t="s">
        <v>1361</v>
      </c>
      <c r="C459">
        <v>2</v>
      </c>
      <c r="D459" s="213">
        <v>35699</v>
      </c>
      <c r="E459" s="213">
        <v>35727</v>
      </c>
      <c r="F459" s="213">
        <v>35704</v>
      </c>
      <c r="G459">
        <v>1</v>
      </c>
      <c r="H459">
        <v>4.4000000000000004</v>
      </c>
      <c r="I459" t="s">
        <v>1362</v>
      </c>
      <c r="J459" t="s">
        <v>1363</v>
      </c>
      <c r="K459" t="s">
        <v>1364</v>
      </c>
      <c r="M459">
        <v>44000</v>
      </c>
      <c r="N459" t="s">
        <v>824</v>
      </c>
    </row>
    <row r="460" spans="1:14">
      <c r="A460">
        <v>10684</v>
      </c>
      <c r="B460" t="s">
        <v>1228</v>
      </c>
      <c r="C460">
        <v>3</v>
      </c>
      <c r="D460" s="213">
        <v>35699</v>
      </c>
      <c r="E460" s="213">
        <v>35727</v>
      </c>
      <c r="F460" s="213">
        <v>35703</v>
      </c>
      <c r="G460">
        <v>1</v>
      </c>
      <c r="H460">
        <v>145.63</v>
      </c>
      <c r="I460" t="s">
        <v>1229</v>
      </c>
      <c r="J460" t="s">
        <v>1230</v>
      </c>
      <c r="K460" t="s">
        <v>1231</v>
      </c>
      <c r="M460">
        <v>50739</v>
      </c>
      <c r="N460" t="s">
        <v>1184</v>
      </c>
    </row>
    <row r="461" spans="1:14">
      <c r="A461">
        <v>10685</v>
      </c>
      <c r="B461" t="s">
        <v>1498</v>
      </c>
      <c r="C461">
        <v>4</v>
      </c>
      <c r="D461" s="213">
        <v>35702</v>
      </c>
      <c r="E461" s="213">
        <v>35716</v>
      </c>
      <c r="F461" s="213">
        <v>35706</v>
      </c>
      <c r="G461">
        <v>2</v>
      </c>
      <c r="H461">
        <v>33.75</v>
      </c>
      <c r="I461" t="s">
        <v>1499</v>
      </c>
      <c r="J461" t="s">
        <v>1500</v>
      </c>
      <c r="K461" t="s">
        <v>937</v>
      </c>
      <c r="L461" t="s">
        <v>38</v>
      </c>
      <c r="M461" t="s">
        <v>1501</v>
      </c>
      <c r="N461" t="s">
        <v>831</v>
      </c>
    </row>
    <row r="462" spans="1:14">
      <c r="A462">
        <v>10686</v>
      </c>
      <c r="B462" t="s">
        <v>1419</v>
      </c>
      <c r="C462">
        <v>2</v>
      </c>
      <c r="D462" s="213">
        <v>35703</v>
      </c>
      <c r="E462" s="213">
        <v>35731</v>
      </c>
      <c r="F462" s="213">
        <v>35711</v>
      </c>
      <c r="G462">
        <v>1</v>
      </c>
      <c r="H462">
        <v>96.5</v>
      </c>
      <c r="I462" t="s">
        <v>1420</v>
      </c>
      <c r="J462" t="s">
        <v>1421</v>
      </c>
      <c r="K462" t="s">
        <v>1422</v>
      </c>
      <c r="M462">
        <v>5020</v>
      </c>
      <c r="N462" t="s">
        <v>1222</v>
      </c>
    </row>
    <row r="463" spans="1:14">
      <c r="A463">
        <v>10687</v>
      </c>
      <c r="B463" t="s">
        <v>1330</v>
      </c>
      <c r="C463">
        <v>9</v>
      </c>
      <c r="D463" s="213">
        <v>35703</v>
      </c>
      <c r="E463" s="213">
        <v>35731</v>
      </c>
      <c r="F463" s="213">
        <v>35733</v>
      </c>
      <c r="G463">
        <v>2</v>
      </c>
      <c r="H463">
        <v>296.43</v>
      </c>
      <c r="I463" t="s">
        <v>1331</v>
      </c>
      <c r="J463" t="s">
        <v>1332</v>
      </c>
      <c r="K463" t="s">
        <v>1333</v>
      </c>
      <c r="L463" t="s">
        <v>1334</v>
      </c>
      <c r="N463" t="s">
        <v>1335</v>
      </c>
    </row>
    <row r="464" spans="1:14">
      <c r="A464">
        <v>10688</v>
      </c>
      <c r="B464" t="s">
        <v>1449</v>
      </c>
      <c r="C464">
        <v>4</v>
      </c>
      <c r="D464" s="213">
        <v>35704</v>
      </c>
      <c r="E464" s="213">
        <v>35718</v>
      </c>
      <c r="F464" s="213">
        <v>35710</v>
      </c>
      <c r="G464">
        <v>2</v>
      </c>
      <c r="H464">
        <v>299.08999999999997</v>
      </c>
      <c r="I464" t="s">
        <v>1450</v>
      </c>
      <c r="J464" t="s">
        <v>1451</v>
      </c>
      <c r="K464" t="s">
        <v>1452</v>
      </c>
      <c r="M464">
        <v>8200</v>
      </c>
      <c r="N464" t="s">
        <v>1410</v>
      </c>
    </row>
    <row r="465" spans="1:14">
      <c r="A465">
        <v>10689</v>
      </c>
      <c r="B465" t="s">
        <v>1289</v>
      </c>
      <c r="C465">
        <v>1</v>
      </c>
      <c r="D465" s="213">
        <v>35704</v>
      </c>
      <c r="E465" s="213">
        <v>35732</v>
      </c>
      <c r="F465" s="213">
        <v>35710</v>
      </c>
      <c r="G465">
        <v>2</v>
      </c>
      <c r="H465">
        <v>13.42</v>
      </c>
      <c r="I465" t="s">
        <v>1290</v>
      </c>
      <c r="J465" t="s">
        <v>1291</v>
      </c>
      <c r="K465" t="s">
        <v>1292</v>
      </c>
      <c r="M465" t="s">
        <v>1293</v>
      </c>
      <c r="N465" t="s">
        <v>829</v>
      </c>
    </row>
    <row r="466" spans="1:14">
      <c r="A466">
        <v>10690</v>
      </c>
      <c r="B466" t="s">
        <v>1185</v>
      </c>
      <c r="C466">
        <v>1</v>
      </c>
      <c r="D466" s="213">
        <v>35705</v>
      </c>
      <c r="E466" s="213">
        <v>35733</v>
      </c>
      <c r="F466" s="213">
        <v>35706</v>
      </c>
      <c r="G466">
        <v>1</v>
      </c>
      <c r="H466">
        <v>15.8</v>
      </c>
      <c r="I466" t="s">
        <v>1186</v>
      </c>
      <c r="J466" t="s">
        <v>1187</v>
      </c>
      <c r="K466" t="s">
        <v>1158</v>
      </c>
      <c r="L466" t="s">
        <v>57</v>
      </c>
      <c r="M466" t="s">
        <v>1188</v>
      </c>
      <c r="N466" t="s">
        <v>831</v>
      </c>
    </row>
    <row r="467" spans="1:14">
      <c r="A467">
        <v>10691</v>
      </c>
      <c r="B467" t="s">
        <v>1274</v>
      </c>
      <c r="C467">
        <v>2</v>
      </c>
      <c r="D467" s="213">
        <v>35706</v>
      </c>
      <c r="E467" s="213">
        <v>35748</v>
      </c>
      <c r="F467" s="213">
        <v>35725</v>
      </c>
      <c r="G467">
        <v>2</v>
      </c>
      <c r="H467">
        <v>810.05</v>
      </c>
      <c r="I467" t="s">
        <v>1275</v>
      </c>
      <c r="J467" t="s">
        <v>1276</v>
      </c>
      <c r="K467" t="s">
        <v>1277</v>
      </c>
      <c r="M467">
        <v>1307</v>
      </c>
      <c r="N467" t="s">
        <v>1184</v>
      </c>
    </row>
    <row r="468" spans="1:14">
      <c r="A468">
        <v>10692</v>
      </c>
      <c r="B468" t="s">
        <v>1559</v>
      </c>
      <c r="C468">
        <v>4</v>
      </c>
      <c r="D468" s="213">
        <v>35706</v>
      </c>
      <c r="E468" s="213">
        <v>35734</v>
      </c>
      <c r="F468" s="213">
        <v>35716</v>
      </c>
      <c r="G468">
        <v>2</v>
      </c>
      <c r="H468">
        <v>61.02</v>
      </c>
      <c r="I468" t="s">
        <v>1560</v>
      </c>
      <c r="J468" t="s">
        <v>1561</v>
      </c>
      <c r="K468" t="s">
        <v>1562</v>
      </c>
      <c r="M468">
        <v>12209</v>
      </c>
      <c r="N468" t="s">
        <v>1184</v>
      </c>
    </row>
    <row r="469" spans="1:14">
      <c r="A469">
        <v>10693</v>
      </c>
      <c r="B469" t="s">
        <v>1264</v>
      </c>
      <c r="C469">
        <v>3</v>
      </c>
      <c r="D469" s="213">
        <v>35709</v>
      </c>
      <c r="E469" s="213">
        <v>35723</v>
      </c>
      <c r="F469" s="213">
        <v>35713</v>
      </c>
      <c r="G469">
        <v>3</v>
      </c>
      <c r="H469">
        <v>139.34</v>
      </c>
      <c r="I469" t="s">
        <v>1265</v>
      </c>
      <c r="J469" t="s">
        <v>1266</v>
      </c>
      <c r="K469" t="s">
        <v>1267</v>
      </c>
      <c r="L469" t="s">
        <v>1268</v>
      </c>
      <c r="M469">
        <v>98124</v>
      </c>
      <c r="N469" t="s">
        <v>1241</v>
      </c>
    </row>
    <row r="470" spans="1:14">
      <c r="A470">
        <v>10694</v>
      </c>
      <c r="B470" t="s">
        <v>1274</v>
      </c>
      <c r="C470">
        <v>8</v>
      </c>
      <c r="D470" s="213">
        <v>35709</v>
      </c>
      <c r="E470" s="213">
        <v>35737</v>
      </c>
      <c r="F470" s="213">
        <v>35712</v>
      </c>
      <c r="G470">
        <v>3</v>
      </c>
      <c r="H470">
        <v>398.36</v>
      </c>
      <c r="I470" t="s">
        <v>1275</v>
      </c>
      <c r="J470" t="s">
        <v>1276</v>
      </c>
      <c r="K470" t="s">
        <v>1277</v>
      </c>
      <c r="M470">
        <v>1307</v>
      </c>
      <c r="N470" t="s">
        <v>1184</v>
      </c>
    </row>
    <row r="471" spans="1:14">
      <c r="A471">
        <v>10695</v>
      </c>
      <c r="B471" t="s">
        <v>1550</v>
      </c>
      <c r="C471">
        <v>7</v>
      </c>
      <c r="D471" s="213">
        <v>35710</v>
      </c>
      <c r="E471" s="213">
        <v>35752</v>
      </c>
      <c r="F471" s="213">
        <v>35717</v>
      </c>
      <c r="G471">
        <v>1</v>
      </c>
      <c r="H471">
        <v>16.72</v>
      </c>
      <c r="I471" t="s">
        <v>1551</v>
      </c>
      <c r="J471" t="s">
        <v>1552</v>
      </c>
      <c r="K471" t="s">
        <v>1553</v>
      </c>
      <c r="M471">
        <v>21240</v>
      </c>
      <c r="N471" t="s">
        <v>1255</v>
      </c>
    </row>
    <row r="472" spans="1:14">
      <c r="A472">
        <v>10696</v>
      </c>
      <c r="B472" t="s">
        <v>1264</v>
      </c>
      <c r="C472">
        <v>8</v>
      </c>
      <c r="D472" s="213">
        <v>35711</v>
      </c>
      <c r="E472" s="213">
        <v>35753</v>
      </c>
      <c r="F472" s="213">
        <v>35717</v>
      </c>
      <c r="G472">
        <v>3</v>
      </c>
      <c r="H472">
        <v>102.55</v>
      </c>
      <c r="I472" t="s">
        <v>1265</v>
      </c>
      <c r="J472" t="s">
        <v>1266</v>
      </c>
      <c r="K472" t="s">
        <v>1267</v>
      </c>
      <c r="L472" t="s">
        <v>1268</v>
      </c>
      <c r="M472">
        <v>98124</v>
      </c>
      <c r="N472" t="s">
        <v>1241</v>
      </c>
    </row>
    <row r="473" spans="1:14">
      <c r="A473">
        <v>10697</v>
      </c>
      <c r="B473" t="s">
        <v>1479</v>
      </c>
      <c r="C473">
        <v>3</v>
      </c>
      <c r="D473" s="213">
        <v>35711</v>
      </c>
      <c r="E473" s="213">
        <v>35739</v>
      </c>
      <c r="F473" s="213">
        <v>35717</v>
      </c>
      <c r="G473">
        <v>1</v>
      </c>
      <c r="H473">
        <v>45.52</v>
      </c>
      <c r="I473" t="s">
        <v>1480</v>
      </c>
      <c r="J473" t="s">
        <v>1481</v>
      </c>
      <c r="K473" t="s">
        <v>1482</v>
      </c>
      <c r="L473" t="s">
        <v>1483</v>
      </c>
      <c r="M473">
        <v>4980</v>
      </c>
      <c r="N473" t="s">
        <v>1217</v>
      </c>
    </row>
    <row r="474" spans="1:14">
      <c r="A474">
        <v>10698</v>
      </c>
      <c r="B474" t="s">
        <v>1218</v>
      </c>
      <c r="C474">
        <v>4</v>
      </c>
      <c r="D474" s="213">
        <v>35712</v>
      </c>
      <c r="E474" s="213">
        <v>35740</v>
      </c>
      <c r="F474" s="213">
        <v>35720</v>
      </c>
      <c r="G474">
        <v>1</v>
      </c>
      <c r="H474">
        <v>272.47000000000003</v>
      </c>
      <c r="I474" t="s">
        <v>1219</v>
      </c>
      <c r="J474" t="s">
        <v>1220</v>
      </c>
      <c r="K474" t="s">
        <v>1221</v>
      </c>
      <c r="M474">
        <v>8010</v>
      </c>
      <c r="N474" t="s">
        <v>1222</v>
      </c>
    </row>
    <row r="475" spans="1:14">
      <c r="A475">
        <v>10699</v>
      </c>
      <c r="B475" t="s">
        <v>1285</v>
      </c>
      <c r="C475">
        <v>3</v>
      </c>
      <c r="D475" s="213">
        <v>35712</v>
      </c>
      <c r="E475" s="213">
        <v>35740</v>
      </c>
      <c r="F475" s="213">
        <v>35716</v>
      </c>
      <c r="G475">
        <v>3</v>
      </c>
      <c r="H475">
        <v>0.57999999999999996</v>
      </c>
      <c r="I475" t="s">
        <v>1286</v>
      </c>
      <c r="J475" t="s">
        <v>1287</v>
      </c>
      <c r="K475" t="s">
        <v>1288</v>
      </c>
      <c r="M475">
        <v>4179</v>
      </c>
      <c r="N475" t="s">
        <v>1184</v>
      </c>
    </row>
    <row r="476" spans="1:14">
      <c r="A476">
        <v>10700</v>
      </c>
      <c r="B476" t="s">
        <v>1379</v>
      </c>
      <c r="C476">
        <v>3</v>
      </c>
      <c r="D476" s="213">
        <v>35713</v>
      </c>
      <c r="E476" s="213">
        <v>35741</v>
      </c>
      <c r="F476" s="213">
        <v>35719</v>
      </c>
      <c r="G476">
        <v>1</v>
      </c>
      <c r="H476">
        <v>65.099999999999994</v>
      </c>
      <c r="I476" t="s">
        <v>1380</v>
      </c>
      <c r="J476" t="s">
        <v>1381</v>
      </c>
      <c r="K476" t="s">
        <v>1382</v>
      </c>
      <c r="L476" t="s">
        <v>1383</v>
      </c>
      <c r="M476">
        <v>83720</v>
      </c>
      <c r="N476" t="s">
        <v>1241</v>
      </c>
    </row>
    <row r="477" spans="1:14">
      <c r="A477">
        <v>10701</v>
      </c>
      <c r="B477" t="s">
        <v>1330</v>
      </c>
      <c r="C477">
        <v>6</v>
      </c>
      <c r="D477" s="213">
        <v>35716</v>
      </c>
      <c r="E477" s="213">
        <v>35730</v>
      </c>
      <c r="F477" s="213">
        <v>35718</v>
      </c>
      <c r="G477">
        <v>3</v>
      </c>
      <c r="H477">
        <v>220.31</v>
      </c>
      <c r="I477" t="s">
        <v>1331</v>
      </c>
      <c r="J477" t="s">
        <v>1332</v>
      </c>
      <c r="K477" t="s">
        <v>1333</v>
      </c>
      <c r="L477" t="s">
        <v>1334</v>
      </c>
      <c r="N477" t="s">
        <v>1335</v>
      </c>
    </row>
    <row r="478" spans="1:14">
      <c r="A478">
        <v>10702</v>
      </c>
      <c r="B478" t="s">
        <v>1559</v>
      </c>
      <c r="C478">
        <v>4</v>
      </c>
      <c r="D478" s="213">
        <v>35716</v>
      </c>
      <c r="E478" s="213">
        <v>35758</v>
      </c>
      <c r="F478" s="213">
        <v>35724</v>
      </c>
      <c r="G478">
        <v>1</v>
      </c>
      <c r="H478">
        <v>23.94</v>
      </c>
      <c r="I478" t="s">
        <v>1560</v>
      </c>
      <c r="J478" t="s">
        <v>1561</v>
      </c>
      <c r="K478" t="s">
        <v>1562</v>
      </c>
      <c r="M478">
        <v>12209</v>
      </c>
      <c r="N478" t="s">
        <v>1184</v>
      </c>
    </row>
    <row r="479" spans="1:14">
      <c r="A479">
        <v>10703</v>
      </c>
      <c r="B479" t="s">
        <v>1242</v>
      </c>
      <c r="C479">
        <v>6</v>
      </c>
      <c r="D479" s="213">
        <v>35717</v>
      </c>
      <c r="E479" s="213">
        <v>35745</v>
      </c>
      <c r="F479" s="213">
        <v>35723</v>
      </c>
      <c r="G479">
        <v>2</v>
      </c>
      <c r="H479">
        <v>152.30000000000001</v>
      </c>
      <c r="I479" t="s">
        <v>1243</v>
      </c>
      <c r="J479" t="s">
        <v>1244</v>
      </c>
      <c r="K479" t="s">
        <v>1245</v>
      </c>
      <c r="M479" t="s">
        <v>1246</v>
      </c>
      <c r="N479" t="s">
        <v>829</v>
      </c>
    </row>
    <row r="480" spans="1:14">
      <c r="A480">
        <v>10704</v>
      </c>
      <c r="B480" t="s">
        <v>1453</v>
      </c>
      <c r="C480">
        <v>6</v>
      </c>
      <c r="D480" s="213">
        <v>35717</v>
      </c>
      <c r="E480" s="213">
        <v>35745</v>
      </c>
      <c r="F480" s="213">
        <v>35741</v>
      </c>
      <c r="G480">
        <v>1</v>
      </c>
      <c r="H480">
        <v>4.78</v>
      </c>
      <c r="I480" t="s">
        <v>1454</v>
      </c>
      <c r="J480" t="s">
        <v>1455</v>
      </c>
      <c r="K480" t="s">
        <v>983</v>
      </c>
      <c r="L480" t="s">
        <v>38</v>
      </c>
      <c r="M480" t="s">
        <v>1456</v>
      </c>
      <c r="N480" t="s">
        <v>831</v>
      </c>
    </row>
    <row r="481" spans="1:14">
      <c r="A481">
        <v>10705</v>
      </c>
      <c r="B481" t="s">
        <v>1212</v>
      </c>
      <c r="C481">
        <v>9</v>
      </c>
      <c r="D481" s="213">
        <v>35718</v>
      </c>
      <c r="E481" s="213">
        <v>35746</v>
      </c>
      <c r="F481" s="213">
        <v>35752</v>
      </c>
      <c r="G481">
        <v>2</v>
      </c>
      <c r="H481">
        <v>3.52</v>
      </c>
      <c r="I481" t="s">
        <v>1213</v>
      </c>
      <c r="J481" t="s">
        <v>1214</v>
      </c>
      <c r="K481" t="s">
        <v>1215</v>
      </c>
      <c r="L481" t="s">
        <v>1216</v>
      </c>
      <c r="M481">
        <v>5022</v>
      </c>
      <c r="N481" t="s">
        <v>1217</v>
      </c>
    </row>
    <row r="482" spans="1:14">
      <c r="A482">
        <v>10706</v>
      </c>
      <c r="B482" t="s">
        <v>1344</v>
      </c>
      <c r="C482">
        <v>8</v>
      </c>
      <c r="D482" s="213">
        <v>35719</v>
      </c>
      <c r="E482" s="213">
        <v>35747</v>
      </c>
      <c r="F482" s="213">
        <v>35724</v>
      </c>
      <c r="G482">
        <v>3</v>
      </c>
      <c r="H482">
        <v>135.63</v>
      </c>
      <c r="I482" t="s">
        <v>1345</v>
      </c>
      <c r="J482" t="s">
        <v>1346</v>
      </c>
      <c r="K482" t="s">
        <v>1347</v>
      </c>
      <c r="L482" t="s">
        <v>1348</v>
      </c>
      <c r="M482">
        <v>99508</v>
      </c>
      <c r="N482" t="s">
        <v>1241</v>
      </c>
    </row>
    <row r="483" spans="1:14">
      <c r="A483">
        <v>10707</v>
      </c>
      <c r="B483" t="s">
        <v>1423</v>
      </c>
      <c r="C483">
        <v>4</v>
      </c>
      <c r="D483" s="213">
        <v>35719</v>
      </c>
      <c r="E483" s="213">
        <v>35733</v>
      </c>
      <c r="F483" s="213">
        <v>35726</v>
      </c>
      <c r="G483">
        <v>3</v>
      </c>
      <c r="H483">
        <v>21.74</v>
      </c>
      <c r="I483" t="s">
        <v>1424</v>
      </c>
      <c r="J483" t="s">
        <v>1425</v>
      </c>
    </row>
    <row r="484" spans="1:14">
      <c r="A484" t="s">
        <v>1426</v>
      </c>
      <c r="B484" t="s">
        <v>1427</v>
      </c>
      <c r="C484" t="s">
        <v>1428</v>
      </c>
      <c r="D484" t="s">
        <v>1429</v>
      </c>
      <c r="E484" t="s">
        <v>1321</v>
      </c>
    </row>
    <row r="485" spans="1:14">
      <c r="A485">
        <v>10708</v>
      </c>
      <c r="B485" t="s">
        <v>1357</v>
      </c>
      <c r="C485">
        <v>6</v>
      </c>
      <c r="D485" s="213">
        <v>35720</v>
      </c>
      <c r="E485" s="213">
        <v>35762</v>
      </c>
      <c r="F485" s="213">
        <v>35739</v>
      </c>
      <c r="G485">
        <v>2</v>
      </c>
      <c r="H485">
        <v>2.96</v>
      </c>
      <c r="I485" t="s">
        <v>1358</v>
      </c>
      <c r="J485" t="s">
        <v>1359</v>
      </c>
    </row>
    <row r="486" spans="1:14">
      <c r="A486" t="s">
        <v>1360</v>
      </c>
      <c r="B486" t="s">
        <v>1352</v>
      </c>
      <c r="C486" t="s">
        <v>1353</v>
      </c>
      <c r="D486">
        <v>97201</v>
      </c>
      <c r="E486" t="s">
        <v>1241</v>
      </c>
    </row>
    <row r="487" spans="1:14">
      <c r="A487">
        <v>10709</v>
      </c>
      <c r="B487" t="s">
        <v>1498</v>
      </c>
      <c r="C487">
        <v>1</v>
      </c>
      <c r="D487" s="213">
        <v>35720</v>
      </c>
      <c r="E487" s="213">
        <v>35748</v>
      </c>
      <c r="F487" s="213">
        <v>35754</v>
      </c>
      <c r="G487">
        <v>3</v>
      </c>
      <c r="H487">
        <v>210.8</v>
      </c>
      <c r="I487" t="s">
        <v>1499</v>
      </c>
      <c r="J487" t="s">
        <v>1500</v>
      </c>
      <c r="K487" t="s">
        <v>937</v>
      </c>
      <c r="L487" t="s">
        <v>38</v>
      </c>
      <c r="M487" t="s">
        <v>1501</v>
      </c>
      <c r="N487" t="s">
        <v>831</v>
      </c>
    </row>
    <row r="488" spans="1:14">
      <c r="A488">
        <v>10710</v>
      </c>
      <c r="B488" t="s">
        <v>1494</v>
      </c>
      <c r="C488">
        <v>1</v>
      </c>
      <c r="D488" s="213">
        <v>35723</v>
      </c>
      <c r="E488" s="213">
        <v>35751</v>
      </c>
      <c r="F488" s="213">
        <v>35726</v>
      </c>
      <c r="G488">
        <v>1</v>
      </c>
      <c r="H488">
        <v>4.9800000000000004</v>
      </c>
      <c r="I488" t="s">
        <v>1495</v>
      </c>
      <c r="J488" t="s">
        <v>1496</v>
      </c>
      <c r="K488" t="s">
        <v>1497</v>
      </c>
      <c r="M488">
        <v>10100</v>
      </c>
      <c r="N488" t="s">
        <v>827</v>
      </c>
    </row>
    <row r="489" spans="1:14">
      <c r="A489">
        <v>10711</v>
      </c>
      <c r="B489" t="s">
        <v>1379</v>
      </c>
      <c r="C489">
        <v>5</v>
      </c>
      <c r="D489" s="213">
        <v>35724</v>
      </c>
      <c r="E489" s="213">
        <v>35766</v>
      </c>
      <c r="F489" s="213">
        <v>35732</v>
      </c>
      <c r="G489">
        <v>2</v>
      </c>
      <c r="H489">
        <v>52.41</v>
      </c>
      <c r="I489" t="s">
        <v>1380</v>
      </c>
      <c r="J489" t="s">
        <v>1381</v>
      </c>
      <c r="K489" t="s">
        <v>1382</v>
      </c>
      <c r="L489" t="s">
        <v>1383</v>
      </c>
      <c r="M489">
        <v>83720</v>
      </c>
      <c r="N489" t="s">
        <v>1241</v>
      </c>
    </row>
    <row r="490" spans="1:14">
      <c r="A490">
        <v>10712</v>
      </c>
      <c r="B490" t="s">
        <v>1330</v>
      </c>
      <c r="C490">
        <v>3</v>
      </c>
      <c r="D490" s="213">
        <v>35724</v>
      </c>
      <c r="E490" s="213">
        <v>35752</v>
      </c>
      <c r="F490" s="213">
        <v>35734</v>
      </c>
      <c r="G490">
        <v>1</v>
      </c>
      <c r="H490">
        <v>89.93</v>
      </c>
      <c r="I490" t="s">
        <v>1331</v>
      </c>
      <c r="J490" t="s">
        <v>1332</v>
      </c>
      <c r="K490" t="s">
        <v>1333</v>
      </c>
      <c r="L490" t="s">
        <v>1334</v>
      </c>
      <c r="N490" t="s">
        <v>1335</v>
      </c>
    </row>
    <row r="491" spans="1:14">
      <c r="A491">
        <v>10713</v>
      </c>
      <c r="B491" t="s">
        <v>1379</v>
      </c>
      <c r="C491">
        <v>1</v>
      </c>
      <c r="D491" s="213">
        <v>35725</v>
      </c>
      <c r="E491" s="213">
        <v>35753</v>
      </c>
      <c r="F491" s="213">
        <v>35727</v>
      </c>
      <c r="G491">
        <v>1</v>
      </c>
      <c r="H491">
        <v>167.05</v>
      </c>
      <c r="I491" t="s">
        <v>1380</v>
      </c>
      <c r="J491" t="s">
        <v>1381</v>
      </c>
      <c r="K491" t="s">
        <v>1382</v>
      </c>
      <c r="L491" t="s">
        <v>1383</v>
      </c>
      <c r="M491">
        <v>83720</v>
      </c>
      <c r="N491" t="s">
        <v>1241</v>
      </c>
    </row>
    <row r="492" spans="1:14">
      <c r="A492">
        <v>10714</v>
      </c>
      <c r="B492" t="s">
        <v>1379</v>
      </c>
      <c r="C492">
        <v>5</v>
      </c>
      <c r="D492" s="213">
        <v>35725</v>
      </c>
      <c r="E492" s="213">
        <v>35753</v>
      </c>
      <c r="F492" s="213">
        <v>35730</v>
      </c>
      <c r="G492">
        <v>3</v>
      </c>
      <c r="H492">
        <v>24.49</v>
      </c>
      <c r="I492" t="s">
        <v>1380</v>
      </c>
      <c r="J492" t="s">
        <v>1381</v>
      </c>
      <c r="K492" t="s">
        <v>1382</v>
      </c>
      <c r="L492" t="s">
        <v>1383</v>
      </c>
      <c r="M492">
        <v>83720</v>
      </c>
      <c r="N492" t="s">
        <v>1241</v>
      </c>
    </row>
    <row r="493" spans="1:14">
      <c r="A493">
        <v>10715</v>
      </c>
      <c r="B493" t="s">
        <v>1392</v>
      </c>
      <c r="C493">
        <v>3</v>
      </c>
      <c r="D493" s="213">
        <v>35726</v>
      </c>
      <c r="E493" s="213">
        <v>35740</v>
      </c>
      <c r="F493" s="213">
        <v>35732</v>
      </c>
      <c r="G493">
        <v>1</v>
      </c>
      <c r="H493">
        <v>63.2</v>
      </c>
      <c r="I493" t="s">
        <v>1393</v>
      </c>
      <c r="J493" t="s">
        <v>1394</v>
      </c>
      <c r="K493" t="s">
        <v>1395</v>
      </c>
      <c r="M493">
        <v>13008</v>
      </c>
      <c r="N493" t="s">
        <v>824</v>
      </c>
    </row>
    <row r="494" spans="1:14">
      <c r="A494">
        <v>10716</v>
      </c>
      <c r="B494" t="s">
        <v>1507</v>
      </c>
      <c r="C494">
        <v>4</v>
      </c>
      <c r="D494" s="213">
        <v>35727</v>
      </c>
      <c r="E494" s="213">
        <v>35755</v>
      </c>
      <c r="F494" s="213">
        <v>35730</v>
      </c>
      <c r="G494">
        <v>2</v>
      </c>
      <c r="H494">
        <v>22.57</v>
      </c>
      <c r="I494" t="s">
        <v>1508</v>
      </c>
      <c r="J494" t="s">
        <v>1509</v>
      </c>
      <c r="K494" t="s">
        <v>1492</v>
      </c>
      <c r="M494">
        <v>1010</v>
      </c>
      <c r="N494" t="s">
        <v>1493</v>
      </c>
    </row>
    <row r="495" spans="1:14">
      <c r="A495">
        <v>10717</v>
      </c>
      <c r="B495" t="s">
        <v>1256</v>
      </c>
      <c r="C495">
        <v>1</v>
      </c>
      <c r="D495" s="213">
        <v>35727</v>
      </c>
      <c r="E495" s="213">
        <v>35755</v>
      </c>
      <c r="F495" s="213">
        <v>35732</v>
      </c>
      <c r="G495">
        <v>2</v>
      </c>
      <c r="H495">
        <v>59.25</v>
      </c>
      <c r="I495" t="s">
        <v>1257</v>
      </c>
      <c r="J495" t="s">
        <v>1258</v>
      </c>
      <c r="K495" t="s">
        <v>1259</v>
      </c>
      <c r="M495">
        <v>80805</v>
      </c>
      <c r="N495" t="s">
        <v>1184</v>
      </c>
    </row>
    <row r="496" spans="1:14">
      <c r="A496">
        <v>10718</v>
      </c>
      <c r="B496" t="s">
        <v>1375</v>
      </c>
      <c r="C496">
        <v>1</v>
      </c>
      <c r="D496" s="213">
        <v>35730</v>
      </c>
      <c r="E496" s="213">
        <v>35758</v>
      </c>
      <c r="F496" s="213">
        <v>35732</v>
      </c>
      <c r="G496">
        <v>3</v>
      </c>
      <c r="H496">
        <v>170.88</v>
      </c>
      <c r="I496" t="s">
        <v>1376</v>
      </c>
      <c r="J496" t="s">
        <v>1377</v>
      </c>
      <c r="K496" t="s">
        <v>1378</v>
      </c>
      <c r="M496">
        <v>14776</v>
      </c>
      <c r="N496" t="s">
        <v>1184</v>
      </c>
    </row>
    <row r="497" spans="1:14">
      <c r="A497">
        <v>10719</v>
      </c>
      <c r="B497" t="s">
        <v>1544</v>
      </c>
      <c r="C497">
        <v>8</v>
      </c>
      <c r="D497" s="213">
        <v>35730</v>
      </c>
      <c r="E497" s="213">
        <v>35758</v>
      </c>
      <c r="F497" s="213">
        <v>35739</v>
      </c>
      <c r="G497">
        <v>2</v>
      </c>
      <c r="H497">
        <v>51.44</v>
      </c>
      <c r="I497" t="s">
        <v>1545</v>
      </c>
      <c r="J497" t="s">
        <v>1546</v>
      </c>
    </row>
    <row r="498" spans="1:14">
      <c r="A498" t="s">
        <v>1547</v>
      </c>
      <c r="B498" t="s">
        <v>1548</v>
      </c>
      <c r="C498" t="s">
        <v>1549</v>
      </c>
      <c r="D498">
        <v>94117</v>
      </c>
      <c r="E498" t="s">
        <v>1241</v>
      </c>
    </row>
    <row r="499" spans="1:14">
      <c r="A499">
        <v>10720</v>
      </c>
      <c r="B499" t="s">
        <v>1232</v>
      </c>
      <c r="C499">
        <v>8</v>
      </c>
      <c r="D499" s="213">
        <v>35731</v>
      </c>
      <c r="E499" s="213">
        <v>35745</v>
      </c>
      <c r="F499" s="213">
        <v>35739</v>
      </c>
      <c r="G499">
        <v>2</v>
      </c>
      <c r="H499">
        <v>9.5299999999999994</v>
      </c>
      <c r="I499" t="s">
        <v>1233</v>
      </c>
      <c r="J499" t="s">
        <v>1234</v>
      </c>
      <c r="K499" t="s">
        <v>1158</v>
      </c>
      <c r="L499" t="s">
        <v>57</v>
      </c>
      <c r="M499" t="s">
        <v>1235</v>
      </c>
      <c r="N499" t="s">
        <v>831</v>
      </c>
    </row>
    <row r="500" spans="1:14">
      <c r="A500">
        <v>10721</v>
      </c>
      <c r="B500" t="s">
        <v>1274</v>
      </c>
      <c r="C500">
        <v>5</v>
      </c>
      <c r="D500" s="213">
        <v>35732</v>
      </c>
      <c r="E500" s="213">
        <v>35760</v>
      </c>
      <c r="F500" s="213">
        <v>35734</v>
      </c>
      <c r="G500">
        <v>3</v>
      </c>
      <c r="H500">
        <v>48.92</v>
      </c>
      <c r="I500" t="s">
        <v>1275</v>
      </c>
      <c r="J500" t="s">
        <v>1276</v>
      </c>
      <c r="K500" t="s">
        <v>1277</v>
      </c>
      <c r="M500">
        <v>1307</v>
      </c>
      <c r="N500" t="s">
        <v>1184</v>
      </c>
    </row>
    <row r="501" spans="1:14">
      <c r="A501">
        <v>10722</v>
      </c>
      <c r="B501" t="s">
        <v>1379</v>
      </c>
      <c r="C501">
        <v>8</v>
      </c>
      <c r="D501" s="213">
        <v>35732</v>
      </c>
      <c r="E501" s="213">
        <v>35774</v>
      </c>
      <c r="F501" s="213">
        <v>35738</v>
      </c>
      <c r="G501">
        <v>1</v>
      </c>
      <c r="H501">
        <v>74.58</v>
      </c>
      <c r="I501" t="s">
        <v>1380</v>
      </c>
      <c r="J501" t="s">
        <v>1381</v>
      </c>
      <c r="K501" t="s">
        <v>1382</v>
      </c>
      <c r="L501" t="s">
        <v>1383</v>
      </c>
      <c r="M501">
        <v>83720</v>
      </c>
      <c r="N501" t="s">
        <v>1241</v>
      </c>
    </row>
    <row r="502" spans="1:14">
      <c r="A502">
        <v>10723</v>
      </c>
      <c r="B502" t="s">
        <v>1264</v>
      </c>
      <c r="C502">
        <v>3</v>
      </c>
      <c r="D502" s="213">
        <v>35733</v>
      </c>
      <c r="E502" s="213">
        <v>35761</v>
      </c>
      <c r="F502" s="213">
        <v>35759</v>
      </c>
      <c r="G502">
        <v>1</v>
      </c>
      <c r="H502">
        <v>21.72</v>
      </c>
      <c r="I502" t="s">
        <v>1265</v>
      </c>
      <c r="J502" t="s">
        <v>1266</v>
      </c>
      <c r="K502" t="s">
        <v>1267</v>
      </c>
      <c r="L502" t="s">
        <v>1268</v>
      </c>
      <c r="M502">
        <v>98124</v>
      </c>
      <c r="N502" t="s">
        <v>1241</v>
      </c>
    </row>
    <row r="503" spans="1:14">
      <c r="A503">
        <v>10724</v>
      </c>
      <c r="B503" t="s">
        <v>1396</v>
      </c>
      <c r="C503">
        <v>8</v>
      </c>
      <c r="D503" s="213">
        <v>35733</v>
      </c>
      <c r="E503" s="213">
        <v>35775</v>
      </c>
      <c r="F503" s="213">
        <v>35739</v>
      </c>
      <c r="G503">
        <v>2</v>
      </c>
      <c r="H503">
        <v>57.75</v>
      </c>
      <c r="I503" t="s">
        <v>1397</v>
      </c>
      <c r="J503" t="s">
        <v>1398</v>
      </c>
      <c r="K503" t="s">
        <v>1399</v>
      </c>
      <c r="L503" t="s">
        <v>1400</v>
      </c>
      <c r="M503" t="s">
        <v>1401</v>
      </c>
      <c r="N503" t="s">
        <v>1402</v>
      </c>
    </row>
    <row r="504" spans="1:14">
      <c r="A504">
        <v>10725</v>
      </c>
      <c r="B504" t="s">
        <v>1411</v>
      </c>
      <c r="C504">
        <v>4</v>
      </c>
      <c r="D504" s="213">
        <v>35734</v>
      </c>
      <c r="E504" s="213">
        <v>35762</v>
      </c>
      <c r="F504" s="213">
        <v>35739</v>
      </c>
      <c r="G504">
        <v>3</v>
      </c>
      <c r="H504">
        <v>10.83</v>
      </c>
      <c r="I504" t="s">
        <v>1412</v>
      </c>
      <c r="J504" t="s">
        <v>1413</v>
      </c>
      <c r="K504" t="s">
        <v>983</v>
      </c>
      <c r="L504" t="s">
        <v>38</v>
      </c>
      <c r="M504" t="s">
        <v>1414</v>
      </c>
      <c r="N504" t="s">
        <v>831</v>
      </c>
    </row>
    <row r="505" spans="1:14">
      <c r="A505">
        <v>10726</v>
      </c>
      <c r="B505" t="s">
        <v>1438</v>
      </c>
      <c r="C505">
        <v>4</v>
      </c>
      <c r="D505" s="213">
        <v>35737</v>
      </c>
      <c r="E505" s="213">
        <v>35751</v>
      </c>
      <c r="F505" s="213">
        <v>35769</v>
      </c>
      <c r="G505">
        <v>1</v>
      </c>
      <c r="H505">
        <v>16.559999999999999</v>
      </c>
      <c r="I505" t="s">
        <v>1439</v>
      </c>
      <c r="J505" t="s">
        <v>1440</v>
      </c>
      <c r="K505" t="s">
        <v>1319</v>
      </c>
      <c r="M505" t="s">
        <v>1441</v>
      </c>
      <c r="N505" t="s">
        <v>1321</v>
      </c>
    </row>
    <row r="506" spans="1:14">
      <c r="A506">
        <v>10727</v>
      </c>
      <c r="B506" t="s">
        <v>1312</v>
      </c>
      <c r="C506">
        <v>2</v>
      </c>
      <c r="D506" s="213">
        <v>35737</v>
      </c>
      <c r="E506" s="213">
        <v>35765</v>
      </c>
      <c r="F506" s="213">
        <v>35769</v>
      </c>
      <c r="G506">
        <v>1</v>
      </c>
      <c r="H506">
        <v>89.9</v>
      </c>
      <c r="I506" t="s">
        <v>1313</v>
      </c>
      <c r="J506" t="s">
        <v>1314</v>
      </c>
      <c r="K506" t="s">
        <v>1315</v>
      </c>
      <c r="M506">
        <v>42100</v>
      </c>
      <c r="N506" t="s">
        <v>827</v>
      </c>
    </row>
    <row r="507" spans="1:14">
      <c r="A507">
        <v>10728</v>
      </c>
      <c r="B507" t="s">
        <v>1453</v>
      </c>
      <c r="C507">
        <v>4</v>
      </c>
      <c r="D507" s="213">
        <v>35738</v>
      </c>
      <c r="E507" s="213">
        <v>35766</v>
      </c>
      <c r="F507" s="213">
        <v>35745</v>
      </c>
      <c r="G507">
        <v>2</v>
      </c>
      <c r="H507">
        <v>58.33</v>
      </c>
      <c r="I507" t="s">
        <v>1454</v>
      </c>
      <c r="J507" t="s">
        <v>1455</v>
      </c>
      <c r="K507" t="s">
        <v>983</v>
      </c>
      <c r="L507" t="s">
        <v>38</v>
      </c>
      <c r="M507" t="s">
        <v>1456</v>
      </c>
      <c r="N507" t="s">
        <v>831</v>
      </c>
    </row>
    <row r="508" spans="1:14">
      <c r="A508">
        <v>10729</v>
      </c>
      <c r="B508" t="s">
        <v>1479</v>
      </c>
      <c r="C508">
        <v>8</v>
      </c>
      <c r="D508" s="213">
        <v>35738</v>
      </c>
      <c r="E508" s="213">
        <v>35780</v>
      </c>
      <c r="F508" s="213">
        <v>35748</v>
      </c>
      <c r="G508">
        <v>3</v>
      </c>
      <c r="H508">
        <v>141.06</v>
      </c>
      <c r="I508" t="s">
        <v>1480</v>
      </c>
      <c r="J508" t="s">
        <v>1481</v>
      </c>
      <c r="K508" t="s">
        <v>1482</v>
      </c>
      <c r="L508" t="s">
        <v>1483</v>
      </c>
      <c r="M508">
        <v>4980</v>
      </c>
      <c r="N508" t="s">
        <v>1217</v>
      </c>
    </row>
    <row r="509" spans="1:14">
      <c r="A509">
        <v>10730</v>
      </c>
      <c r="B509" t="s">
        <v>1392</v>
      </c>
      <c r="C509">
        <v>5</v>
      </c>
      <c r="D509" s="213">
        <v>35739</v>
      </c>
      <c r="E509" s="213">
        <v>35767</v>
      </c>
      <c r="F509" s="213">
        <v>35748</v>
      </c>
      <c r="G509">
        <v>1</v>
      </c>
      <c r="H509">
        <v>20.12</v>
      </c>
      <c r="I509" t="s">
        <v>1393</v>
      </c>
      <c r="J509" t="s">
        <v>1394</v>
      </c>
      <c r="K509" t="s">
        <v>1395</v>
      </c>
      <c r="M509">
        <v>13008</v>
      </c>
      <c r="N509" t="s">
        <v>824</v>
      </c>
    </row>
    <row r="510" spans="1:14">
      <c r="A510">
        <v>10731</v>
      </c>
      <c r="B510" t="s">
        <v>1198</v>
      </c>
      <c r="C510">
        <v>7</v>
      </c>
      <c r="D510" s="213">
        <v>35740</v>
      </c>
      <c r="E510" s="213">
        <v>35768</v>
      </c>
      <c r="F510" s="213">
        <v>35748</v>
      </c>
      <c r="G510">
        <v>1</v>
      </c>
      <c r="H510">
        <v>96.65</v>
      </c>
      <c r="I510" t="s">
        <v>1199</v>
      </c>
      <c r="J510" t="s">
        <v>1200</v>
      </c>
      <c r="K510" t="s">
        <v>1201</v>
      </c>
      <c r="M510">
        <v>3012</v>
      </c>
      <c r="N510" t="s">
        <v>1202</v>
      </c>
    </row>
    <row r="511" spans="1:14">
      <c r="A511">
        <v>10732</v>
      </c>
      <c r="B511" t="s">
        <v>1392</v>
      </c>
      <c r="C511">
        <v>3</v>
      </c>
      <c r="D511" s="213">
        <v>35740</v>
      </c>
      <c r="E511" s="213">
        <v>35768</v>
      </c>
      <c r="F511" s="213">
        <v>35741</v>
      </c>
      <c r="G511">
        <v>1</v>
      </c>
      <c r="H511">
        <v>16.97</v>
      </c>
      <c r="I511" t="s">
        <v>1393</v>
      </c>
      <c r="J511" t="s">
        <v>1394</v>
      </c>
      <c r="K511" t="s">
        <v>1395</v>
      </c>
      <c r="M511">
        <v>13008</v>
      </c>
      <c r="N511" t="s">
        <v>824</v>
      </c>
    </row>
    <row r="512" spans="1:14">
      <c r="A512">
        <v>10733</v>
      </c>
      <c r="B512" t="s">
        <v>1289</v>
      </c>
      <c r="C512">
        <v>1</v>
      </c>
      <c r="D512" s="213">
        <v>35741</v>
      </c>
      <c r="E512" s="213">
        <v>35769</v>
      </c>
      <c r="F512" s="213">
        <v>35744</v>
      </c>
      <c r="G512">
        <v>3</v>
      </c>
      <c r="H512">
        <v>110.11</v>
      </c>
      <c r="I512" t="s">
        <v>1290</v>
      </c>
      <c r="J512" t="s">
        <v>1291</v>
      </c>
      <c r="K512" t="s">
        <v>1292</v>
      </c>
      <c r="M512" t="s">
        <v>1293</v>
      </c>
      <c r="N512" t="s">
        <v>829</v>
      </c>
    </row>
    <row r="513" spans="1:14">
      <c r="A513">
        <v>10734</v>
      </c>
      <c r="B513" t="s">
        <v>1498</v>
      </c>
      <c r="C513">
        <v>2</v>
      </c>
      <c r="D513" s="213">
        <v>35741</v>
      </c>
      <c r="E513" s="213">
        <v>35769</v>
      </c>
      <c r="F513" s="213">
        <v>35746</v>
      </c>
      <c r="G513">
        <v>3</v>
      </c>
      <c r="H513">
        <v>1.63</v>
      </c>
      <c r="I513" t="s">
        <v>1499</v>
      </c>
      <c r="J513" t="s">
        <v>1500</v>
      </c>
      <c r="K513" t="s">
        <v>937</v>
      </c>
      <c r="L513" t="s">
        <v>38</v>
      </c>
      <c r="M513" t="s">
        <v>1501</v>
      </c>
      <c r="N513" t="s">
        <v>831</v>
      </c>
    </row>
    <row r="514" spans="1:14">
      <c r="A514">
        <v>10735</v>
      </c>
      <c r="B514" t="s">
        <v>1544</v>
      </c>
      <c r="C514">
        <v>6</v>
      </c>
      <c r="D514" s="213">
        <v>35744</v>
      </c>
      <c r="E514" s="213">
        <v>35772</v>
      </c>
      <c r="F514" s="213">
        <v>35755</v>
      </c>
      <c r="G514">
        <v>2</v>
      </c>
      <c r="H514">
        <v>45.97</v>
      </c>
      <c r="I514" t="s">
        <v>1545</v>
      </c>
      <c r="J514" t="s">
        <v>1546</v>
      </c>
    </row>
    <row r="515" spans="1:14">
      <c r="A515" t="s">
        <v>1547</v>
      </c>
      <c r="B515" t="s">
        <v>1548</v>
      </c>
      <c r="C515" t="s">
        <v>1549</v>
      </c>
      <c r="D515">
        <v>94117</v>
      </c>
      <c r="E515" t="s">
        <v>1241</v>
      </c>
    </row>
    <row r="516" spans="1:14">
      <c r="A516">
        <v>10736</v>
      </c>
      <c r="B516" t="s">
        <v>1330</v>
      </c>
      <c r="C516">
        <v>9</v>
      </c>
      <c r="D516" s="213">
        <v>35745</v>
      </c>
      <c r="E516" s="213">
        <v>35773</v>
      </c>
      <c r="F516" s="213">
        <v>35755</v>
      </c>
      <c r="G516">
        <v>2</v>
      </c>
      <c r="H516">
        <v>44.1</v>
      </c>
      <c r="I516" t="s">
        <v>1331</v>
      </c>
      <c r="J516" t="s">
        <v>1332</v>
      </c>
      <c r="K516" t="s">
        <v>1333</v>
      </c>
      <c r="L516" t="s">
        <v>1334</v>
      </c>
      <c r="N516" t="s">
        <v>1335</v>
      </c>
    </row>
    <row r="517" spans="1:14">
      <c r="A517">
        <v>10737</v>
      </c>
      <c r="B517" t="s">
        <v>1176</v>
      </c>
      <c r="C517">
        <v>2</v>
      </c>
      <c r="D517" s="213">
        <v>35745</v>
      </c>
      <c r="E517" s="213">
        <v>35773</v>
      </c>
      <c r="F517" s="213">
        <v>35752</v>
      </c>
      <c r="G517">
        <v>2</v>
      </c>
      <c r="H517">
        <v>7.79</v>
      </c>
      <c r="I517" t="s">
        <v>1177</v>
      </c>
      <c r="J517" t="s">
        <v>1178</v>
      </c>
      <c r="K517" t="s">
        <v>1179</v>
      </c>
      <c r="M517">
        <v>51100</v>
      </c>
      <c r="N517" t="s">
        <v>824</v>
      </c>
    </row>
    <row r="518" spans="1:14">
      <c r="A518">
        <v>10738</v>
      </c>
      <c r="B518" t="s">
        <v>1566</v>
      </c>
      <c r="C518">
        <v>2</v>
      </c>
      <c r="D518" s="213">
        <v>35746</v>
      </c>
      <c r="E518" s="213">
        <v>35774</v>
      </c>
      <c r="F518" s="213">
        <v>35752</v>
      </c>
      <c r="G518">
        <v>1</v>
      </c>
      <c r="H518">
        <v>2.91</v>
      </c>
      <c r="I518" t="s">
        <v>1567</v>
      </c>
      <c r="J518" t="s">
        <v>1568</v>
      </c>
      <c r="K518" t="s">
        <v>1569</v>
      </c>
      <c r="M518">
        <v>75016</v>
      </c>
      <c r="N518" t="s">
        <v>824</v>
      </c>
    </row>
    <row r="519" spans="1:14">
      <c r="A519">
        <v>10739</v>
      </c>
      <c r="B519" t="s">
        <v>1176</v>
      </c>
      <c r="C519">
        <v>3</v>
      </c>
      <c r="D519" s="213">
        <v>35746</v>
      </c>
      <c r="E519" s="213">
        <v>35774</v>
      </c>
      <c r="F519" s="213">
        <v>35751</v>
      </c>
      <c r="G519">
        <v>3</v>
      </c>
      <c r="H519">
        <v>11.08</v>
      </c>
      <c r="I519" t="s">
        <v>1177</v>
      </c>
      <c r="J519" t="s">
        <v>1178</v>
      </c>
      <c r="K519" t="s">
        <v>1179</v>
      </c>
      <c r="M519">
        <v>51100</v>
      </c>
      <c r="N519" t="s">
        <v>824</v>
      </c>
    </row>
    <row r="520" spans="1:14">
      <c r="A520">
        <v>10740</v>
      </c>
      <c r="B520" t="s">
        <v>1264</v>
      </c>
      <c r="C520">
        <v>4</v>
      </c>
      <c r="D520" s="213">
        <v>35747</v>
      </c>
      <c r="E520" s="213">
        <v>35775</v>
      </c>
      <c r="F520" s="213">
        <v>35759</v>
      </c>
      <c r="G520">
        <v>2</v>
      </c>
      <c r="H520">
        <v>81.88</v>
      </c>
      <c r="I520" t="s">
        <v>1265</v>
      </c>
      <c r="J520" t="s">
        <v>1266</v>
      </c>
      <c r="K520" t="s">
        <v>1267</v>
      </c>
      <c r="L520" t="s">
        <v>1268</v>
      </c>
      <c r="M520">
        <v>98124</v>
      </c>
      <c r="N520" t="s">
        <v>1241</v>
      </c>
    </row>
    <row r="521" spans="1:14">
      <c r="A521">
        <v>10741</v>
      </c>
      <c r="B521" t="s">
        <v>1423</v>
      </c>
      <c r="C521">
        <v>4</v>
      </c>
      <c r="D521" s="213">
        <v>35748</v>
      </c>
      <c r="E521" s="213">
        <v>35762</v>
      </c>
      <c r="F521" s="213">
        <v>35752</v>
      </c>
      <c r="G521">
        <v>3</v>
      </c>
      <c r="H521">
        <v>10.96</v>
      </c>
      <c r="I521" t="s">
        <v>1424</v>
      </c>
      <c r="J521" t="s">
        <v>1425</v>
      </c>
    </row>
    <row r="522" spans="1:14">
      <c r="A522" t="s">
        <v>1426</v>
      </c>
      <c r="B522" t="s">
        <v>1427</v>
      </c>
      <c r="C522" t="s">
        <v>1428</v>
      </c>
      <c r="D522" t="s">
        <v>1429</v>
      </c>
      <c r="E522" t="s">
        <v>1321</v>
      </c>
    </row>
    <row r="523" spans="1:14">
      <c r="A523">
        <v>10742</v>
      </c>
      <c r="B523" t="s">
        <v>1473</v>
      </c>
      <c r="C523">
        <v>3</v>
      </c>
      <c r="D523" s="213">
        <v>35748</v>
      </c>
      <c r="E523" s="213">
        <v>35776</v>
      </c>
      <c r="F523" s="213">
        <v>35752</v>
      </c>
      <c r="G523">
        <v>3</v>
      </c>
      <c r="H523">
        <v>243.73</v>
      </c>
      <c r="I523" t="s">
        <v>1474</v>
      </c>
      <c r="J523" t="s">
        <v>1475</v>
      </c>
      <c r="K523" t="s">
        <v>1476</v>
      </c>
      <c r="L523" t="s">
        <v>1477</v>
      </c>
      <c r="M523" t="s">
        <v>1478</v>
      </c>
      <c r="N523" t="s">
        <v>1402</v>
      </c>
    </row>
    <row r="524" spans="1:14">
      <c r="A524">
        <v>10743</v>
      </c>
      <c r="B524" t="s">
        <v>1423</v>
      </c>
      <c r="C524">
        <v>1</v>
      </c>
      <c r="D524" s="213">
        <v>35751</v>
      </c>
      <c r="E524" s="213">
        <v>35779</v>
      </c>
      <c r="F524" s="213">
        <v>35755</v>
      </c>
      <c r="G524">
        <v>2</v>
      </c>
      <c r="H524">
        <v>23.72</v>
      </c>
      <c r="I524" t="s">
        <v>1424</v>
      </c>
      <c r="J524" t="s">
        <v>1425</v>
      </c>
    </row>
    <row r="525" spans="1:14">
      <c r="A525" t="s">
        <v>1426</v>
      </c>
      <c r="B525" t="s">
        <v>1427</v>
      </c>
      <c r="C525" t="s">
        <v>1428</v>
      </c>
      <c r="D525" t="s">
        <v>1429</v>
      </c>
      <c r="E525" t="s">
        <v>1321</v>
      </c>
    </row>
    <row r="526" spans="1:14">
      <c r="A526">
        <v>10744</v>
      </c>
      <c r="B526" t="s">
        <v>1449</v>
      </c>
      <c r="C526">
        <v>6</v>
      </c>
      <c r="D526" s="213">
        <v>35751</v>
      </c>
      <c r="E526" s="213">
        <v>35779</v>
      </c>
      <c r="F526" s="213">
        <v>35758</v>
      </c>
      <c r="G526">
        <v>1</v>
      </c>
      <c r="H526">
        <v>69.19</v>
      </c>
      <c r="I526" t="s">
        <v>1450</v>
      </c>
      <c r="J526" t="s">
        <v>1451</v>
      </c>
      <c r="K526" t="s">
        <v>1452</v>
      </c>
      <c r="M526">
        <v>8200</v>
      </c>
      <c r="N526" t="s">
        <v>1410</v>
      </c>
    </row>
    <row r="527" spans="1:14">
      <c r="A527">
        <v>10745</v>
      </c>
      <c r="B527" t="s">
        <v>1274</v>
      </c>
      <c r="C527">
        <v>9</v>
      </c>
      <c r="D527" s="213">
        <v>35752</v>
      </c>
      <c r="E527" s="213">
        <v>35780</v>
      </c>
      <c r="F527" s="213">
        <v>35761</v>
      </c>
      <c r="G527">
        <v>1</v>
      </c>
      <c r="H527">
        <v>3.52</v>
      </c>
      <c r="I527" t="s">
        <v>1275</v>
      </c>
      <c r="J527" t="s">
        <v>1276</v>
      </c>
      <c r="K527" t="s">
        <v>1277</v>
      </c>
      <c r="M527">
        <v>1307</v>
      </c>
      <c r="N527" t="s">
        <v>1184</v>
      </c>
    </row>
    <row r="528" spans="1:14">
      <c r="A528">
        <v>10746</v>
      </c>
      <c r="B528" t="s">
        <v>1198</v>
      </c>
      <c r="C528">
        <v>1</v>
      </c>
      <c r="D528" s="213">
        <v>35753</v>
      </c>
      <c r="E528" s="213">
        <v>35781</v>
      </c>
      <c r="F528" s="213">
        <v>35755</v>
      </c>
      <c r="G528">
        <v>3</v>
      </c>
      <c r="H528">
        <v>31.43</v>
      </c>
      <c r="I528" t="s">
        <v>1199</v>
      </c>
      <c r="J528" t="s">
        <v>1200</v>
      </c>
      <c r="K528" t="s">
        <v>1201</v>
      </c>
      <c r="M528">
        <v>3012</v>
      </c>
      <c r="N528" t="s">
        <v>1202</v>
      </c>
    </row>
    <row r="529" spans="1:14">
      <c r="A529">
        <v>10747</v>
      </c>
      <c r="B529" t="s">
        <v>1419</v>
      </c>
      <c r="C529">
        <v>6</v>
      </c>
      <c r="D529" s="213">
        <v>35753</v>
      </c>
      <c r="E529" s="213">
        <v>35781</v>
      </c>
      <c r="F529" s="213">
        <v>35760</v>
      </c>
      <c r="G529">
        <v>1</v>
      </c>
      <c r="H529">
        <v>117.33</v>
      </c>
      <c r="I529" t="s">
        <v>1420</v>
      </c>
      <c r="J529" t="s">
        <v>1421</v>
      </c>
      <c r="K529" t="s">
        <v>1422</v>
      </c>
      <c r="M529">
        <v>5020</v>
      </c>
      <c r="N529" t="s">
        <v>1222</v>
      </c>
    </row>
    <row r="530" spans="1:14">
      <c r="A530">
        <v>10748</v>
      </c>
      <c r="B530" t="s">
        <v>1379</v>
      </c>
      <c r="C530">
        <v>3</v>
      </c>
      <c r="D530" s="213">
        <v>35754</v>
      </c>
      <c r="E530" s="213">
        <v>35782</v>
      </c>
      <c r="F530" s="213">
        <v>35762</v>
      </c>
      <c r="G530">
        <v>1</v>
      </c>
      <c r="H530">
        <v>232.55</v>
      </c>
      <c r="I530" t="s">
        <v>1380</v>
      </c>
      <c r="J530" t="s">
        <v>1381</v>
      </c>
      <c r="K530" t="s">
        <v>1382</v>
      </c>
      <c r="L530" t="s">
        <v>1383</v>
      </c>
      <c r="M530">
        <v>83720</v>
      </c>
      <c r="N530" t="s">
        <v>1241</v>
      </c>
    </row>
    <row r="531" spans="1:14">
      <c r="A531">
        <v>10749</v>
      </c>
      <c r="B531" t="s">
        <v>1365</v>
      </c>
      <c r="C531">
        <v>4</v>
      </c>
      <c r="D531" s="213">
        <v>35754</v>
      </c>
      <c r="E531" s="213">
        <v>35782</v>
      </c>
      <c r="F531" s="213">
        <v>35783</v>
      </c>
      <c r="G531">
        <v>2</v>
      </c>
      <c r="H531">
        <v>61.53</v>
      </c>
      <c r="I531" t="s">
        <v>1366</v>
      </c>
      <c r="J531" t="s">
        <v>1367</v>
      </c>
    </row>
    <row r="532" spans="1:14">
      <c r="A532" t="s">
        <v>1368</v>
      </c>
      <c r="B532" t="s">
        <v>1369</v>
      </c>
      <c r="C532" t="s">
        <v>1370</v>
      </c>
      <c r="D532" t="s">
        <v>1371</v>
      </c>
      <c r="E532" t="s">
        <v>1321</v>
      </c>
    </row>
    <row r="533" spans="1:14">
      <c r="A533">
        <v>10750</v>
      </c>
      <c r="B533" t="s">
        <v>1251</v>
      </c>
      <c r="C533">
        <v>9</v>
      </c>
      <c r="D533" s="213">
        <v>35755</v>
      </c>
      <c r="E533" s="213">
        <v>35783</v>
      </c>
      <c r="F533" s="213">
        <v>35758</v>
      </c>
      <c r="G533">
        <v>1</v>
      </c>
      <c r="H533">
        <v>79.3</v>
      </c>
      <c r="I533" t="s">
        <v>1252</v>
      </c>
      <c r="J533" t="s">
        <v>1253</v>
      </c>
      <c r="K533" t="s">
        <v>1254</v>
      </c>
      <c r="M533">
        <v>90110</v>
      </c>
      <c r="N533" t="s">
        <v>1255</v>
      </c>
    </row>
    <row r="534" spans="1:14">
      <c r="A534">
        <v>10751</v>
      </c>
      <c r="B534" t="s">
        <v>1203</v>
      </c>
      <c r="C534">
        <v>3</v>
      </c>
      <c r="D534" s="213">
        <v>35758</v>
      </c>
      <c r="E534" s="213">
        <v>35786</v>
      </c>
      <c r="F534" s="213">
        <v>35767</v>
      </c>
      <c r="G534">
        <v>3</v>
      </c>
      <c r="H534">
        <v>130.79</v>
      </c>
      <c r="I534" t="s">
        <v>1204</v>
      </c>
      <c r="J534" t="s">
        <v>1205</v>
      </c>
      <c r="K534" t="s">
        <v>1206</v>
      </c>
      <c r="M534">
        <v>1204</v>
      </c>
      <c r="N534" t="s">
        <v>1202</v>
      </c>
    </row>
    <row r="535" spans="1:14">
      <c r="A535">
        <v>10752</v>
      </c>
      <c r="B535" t="s">
        <v>1523</v>
      </c>
      <c r="C535">
        <v>2</v>
      </c>
      <c r="D535" s="213">
        <v>35758</v>
      </c>
      <c r="E535" s="213">
        <v>35786</v>
      </c>
      <c r="F535" s="213">
        <v>35762</v>
      </c>
      <c r="G535">
        <v>3</v>
      </c>
      <c r="H535">
        <v>1.39</v>
      </c>
      <c r="I535" t="s">
        <v>1524</v>
      </c>
      <c r="J535" t="s">
        <v>1525</v>
      </c>
    </row>
    <row r="536" spans="1:14">
      <c r="A536" t="s">
        <v>1526</v>
      </c>
      <c r="B536" t="s">
        <v>1319</v>
      </c>
      <c r="D536" t="s">
        <v>1527</v>
      </c>
      <c r="E536" t="s">
        <v>1321</v>
      </c>
    </row>
    <row r="537" spans="1:14">
      <c r="A537">
        <v>10753</v>
      </c>
      <c r="B537" t="s">
        <v>1494</v>
      </c>
      <c r="C537">
        <v>3</v>
      </c>
      <c r="D537" s="213">
        <v>35759</v>
      </c>
      <c r="E537" s="213">
        <v>35787</v>
      </c>
      <c r="F537" s="213">
        <v>35761</v>
      </c>
      <c r="G537">
        <v>1</v>
      </c>
      <c r="H537">
        <v>7.7</v>
      </c>
      <c r="I537" t="s">
        <v>1495</v>
      </c>
      <c r="J537" t="s">
        <v>1496</v>
      </c>
      <c r="K537" t="s">
        <v>1497</v>
      </c>
      <c r="M537">
        <v>10100</v>
      </c>
      <c r="N537" t="s">
        <v>827</v>
      </c>
    </row>
    <row r="538" spans="1:14">
      <c r="A538">
        <v>10754</v>
      </c>
      <c r="B538" t="s">
        <v>1278</v>
      </c>
      <c r="C538">
        <v>6</v>
      </c>
      <c r="D538" s="213">
        <v>35759</v>
      </c>
      <c r="E538" s="213">
        <v>35787</v>
      </c>
      <c r="F538" s="213">
        <v>35761</v>
      </c>
      <c r="G538">
        <v>3</v>
      </c>
      <c r="H538">
        <v>2.38</v>
      </c>
      <c r="I538" t="s">
        <v>1279</v>
      </c>
      <c r="J538" t="s">
        <v>1280</v>
      </c>
      <c r="K538" t="s">
        <v>1281</v>
      </c>
      <c r="M538">
        <v>24100</v>
      </c>
      <c r="N538" t="s">
        <v>827</v>
      </c>
    </row>
    <row r="539" spans="1:14">
      <c r="A539">
        <v>10755</v>
      </c>
      <c r="B539" t="s">
        <v>1392</v>
      </c>
      <c r="C539">
        <v>4</v>
      </c>
      <c r="D539" s="213">
        <v>35760</v>
      </c>
      <c r="E539" s="213">
        <v>35788</v>
      </c>
      <c r="F539" s="213">
        <v>35762</v>
      </c>
      <c r="G539">
        <v>2</v>
      </c>
      <c r="H539">
        <v>16.71</v>
      </c>
      <c r="I539" t="s">
        <v>1393</v>
      </c>
      <c r="J539" t="s">
        <v>1394</v>
      </c>
      <c r="K539" t="s">
        <v>1395</v>
      </c>
      <c r="M539">
        <v>13008</v>
      </c>
      <c r="N539" t="s">
        <v>824</v>
      </c>
    </row>
    <row r="540" spans="1:14">
      <c r="A540">
        <v>10756</v>
      </c>
      <c r="B540" t="s">
        <v>1269</v>
      </c>
      <c r="C540">
        <v>8</v>
      </c>
      <c r="D540" s="213">
        <v>35761</v>
      </c>
      <c r="E540" s="213">
        <v>35789</v>
      </c>
      <c r="F540" s="213">
        <v>35766</v>
      </c>
      <c r="G540">
        <v>2</v>
      </c>
      <c r="H540">
        <v>73.209999999999994</v>
      </c>
      <c r="I540" t="s">
        <v>1270</v>
      </c>
      <c r="J540" t="s">
        <v>1271</v>
      </c>
      <c r="K540" t="s">
        <v>1272</v>
      </c>
      <c r="L540" t="s">
        <v>1273</v>
      </c>
      <c r="M540">
        <v>82520</v>
      </c>
      <c r="N540" t="s">
        <v>1241</v>
      </c>
    </row>
    <row r="541" spans="1:14">
      <c r="A541">
        <v>10757</v>
      </c>
      <c r="B541" t="s">
        <v>1379</v>
      </c>
      <c r="C541">
        <v>6</v>
      </c>
      <c r="D541" s="213">
        <v>35761</v>
      </c>
      <c r="E541" s="213">
        <v>35789</v>
      </c>
      <c r="F541" s="213">
        <v>35779</v>
      </c>
      <c r="G541">
        <v>1</v>
      </c>
      <c r="H541">
        <v>8.19</v>
      </c>
      <c r="I541" t="s">
        <v>1380</v>
      </c>
      <c r="J541" t="s">
        <v>1381</v>
      </c>
      <c r="K541" t="s">
        <v>1382</v>
      </c>
      <c r="L541" t="s">
        <v>1383</v>
      </c>
      <c r="M541">
        <v>83720</v>
      </c>
      <c r="N541" t="s">
        <v>1241</v>
      </c>
    </row>
    <row r="542" spans="1:14">
      <c r="A542">
        <v>10758</v>
      </c>
      <c r="B542" t="s">
        <v>1203</v>
      </c>
      <c r="C542">
        <v>3</v>
      </c>
      <c r="D542" s="213">
        <v>35762</v>
      </c>
      <c r="E542" s="213">
        <v>35790</v>
      </c>
      <c r="F542" s="213">
        <v>35768</v>
      </c>
      <c r="G542">
        <v>3</v>
      </c>
      <c r="H542">
        <v>138.16999999999999</v>
      </c>
      <c r="I542" t="s">
        <v>1204</v>
      </c>
      <c r="J542" t="s">
        <v>1205</v>
      </c>
      <c r="K542" t="s">
        <v>1206</v>
      </c>
      <c r="M542">
        <v>1204</v>
      </c>
      <c r="N542" t="s">
        <v>1202</v>
      </c>
    </row>
    <row r="543" spans="1:14">
      <c r="A543">
        <v>10759</v>
      </c>
      <c r="B543" t="s">
        <v>1354</v>
      </c>
      <c r="C543">
        <v>3</v>
      </c>
      <c r="D543" s="213">
        <v>35762</v>
      </c>
      <c r="E543" s="213">
        <v>35790</v>
      </c>
      <c r="F543" s="213">
        <v>35776</v>
      </c>
      <c r="G543">
        <v>3</v>
      </c>
      <c r="H543">
        <v>11.99</v>
      </c>
      <c r="I543" t="s">
        <v>1355</v>
      </c>
      <c r="J543" t="s">
        <v>1356</v>
      </c>
      <c r="K543" t="s">
        <v>1226</v>
      </c>
      <c r="M543">
        <v>5021</v>
      </c>
      <c r="N543" t="s">
        <v>1227</v>
      </c>
    </row>
    <row r="544" spans="1:14">
      <c r="A544">
        <v>10760</v>
      </c>
      <c r="B544" t="s">
        <v>1535</v>
      </c>
      <c r="C544">
        <v>4</v>
      </c>
      <c r="D544" s="213">
        <v>35765</v>
      </c>
      <c r="E544" s="213">
        <v>35793</v>
      </c>
      <c r="F544" s="213">
        <v>35774</v>
      </c>
      <c r="G544">
        <v>1</v>
      </c>
      <c r="H544">
        <v>155.63999999999999</v>
      </c>
      <c r="I544" t="s">
        <v>1536</v>
      </c>
      <c r="J544" t="s">
        <v>1537</v>
      </c>
      <c r="K544" t="s">
        <v>1538</v>
      </c>
      <c r="M544" t="s">
        <v>1539</v>
      </c>
      <c r="N544" t="s">
        <v>833</v>
      </c>
    </row>
    <row r="545" spans="1:14">
      <c r="A545">
        <v>10761</v>
      </c>
      <c r="B545" t="s">
        <v>1236</v>
      </c>
      <c r="C545">
        <v>5</v>
      </c>
      <c r="D545" s="213">
        <v>35766</v>
      </c>
      <c r="E545" s="213">
        <v>35794</v>
      </c>
      <c r="F545" s="213">
        <v>35772</v>
      </c>
      <c r="G545">
        <v>2</v>
      </c>
      <c r="H545">
        <v>18.66</v>
      </c>
      <c r="I545" t="s">
        <v>1237</v>
      </c>
      <c r="J545" t="s">
        <v>1238</v>
      </c>
      <c r="K545" t="s">
        <v>1239</v>
      </c>
      <c r="L545" t="s">
        <v>1240</v>
      </c>
      <c r="M545">
        <v>87110</v>
      </c>
      <c r="N545" t="s">
        <v>1241</v>
      </c>
    </row>
    <row r="546" spans="1:14">
      <c r="A546">
        <v>10762</v>
      </c>
      <c r="B546" t="s">
        <v>1242</v>
      </c>
      <c r="C546">
        <v>3</v>
      </c>
      <c r="D546" s="213">
        <v>35766</v>
      </c>
      <c r="E546" s="213">
        <v>35794</v>
      </c>
      <c r="F546" s="213">
        <v>35773</v>
      </c>
      <c r="G546">
        <v>1</v>
      </c>
      <c r="H546">
        <v>328.74</v>
      </c>
      <c r="I546" t="s">
        <v>1243</v>
      </c>
      <c r="J546" t="s">
        <v>1244</v>
      </c>
      <c r="K546" t="s">
        <v>1245</v>
      </c>
      <c r="M546" t="s">
        <v>1246</v>
      </c>
      <c r="N546" t="s">
        <v>829</v>
      </c>
    </row>
    <row r="547" spans="1:14">
      <c r="A547">
        <v>10763</v>
      </c>
      <c r="B547" t="s">
        <v>1484</v>
      </c>
      <c r="C547">
        <v>3</v>
      </c>
      <c r="D547" s="213">
        <v>35767</v>
      </c>
      <c r="E547" s="213">
        <v>35795</v>
      </c>
      <c r="F547" s="213">
        <v>35772</v>
      </c>
      <c r="G547">
        <v>3</v>
      </c>
      <c r="H547">
        <v>37.35</v>
      </c>
      <c r="I547" t="s">
        <v>1485</v>
      </c>
      <c r="J547" t="s">
        <v>1486</v>
      </c>
      <c r="K547" t="s">
        <v>1487</v>
      </c>
      <c r="M547">
        <v>59000</v>
      </c>
      <c r="N547" t="s">
        <v>824</v>
      </c>
    </row>
    <row r="548" spans="1:14">
      <c r="A548">
        <v>10764</v>
      </c>
      <c r="B548" t="s">
        <v>1218</v>
      </c>
      <c r="C548">
        <v>6</v>
      </c>
      <c r="D548" s="213">
        <v>35767</v>
      </c>
      <c r="E548" s="213">
        <v>35795</v>
      </c>
      <c r="F548" s="213">
        <v>35772</v>
      </c>
      <c r="G548">
        <v>3</v>
      </c>
      <c r="H548">
        <v>145.44999999999999</v>
      </c>
      <c r="I548" t="s">
        <v>1219</v>
      </c>
      <c r="J548" t="s">
        <v>1220</v>
      </c>
      <c r="K548" t="s">
        <v>1221</v>
      </c>
      <c r="M548">
        <v>8010</v>
      </c>
      <c r="N548" t="s">
        <v>1222</v>
      </c>
    </row>
    <row r="549" spans="1:14">
      <c r="A549">
        <v>10765</v>
      </c>
      <c r="B549" t="s">
        <v>1274</v>
      </c>
      <c r="C549">
        <v>3</v>
      </c>
      <c r="D549" s="213">
        <v>35768</v>
      </c>
      <c r="E549" s="213">
        <v>35796</v>
      </c>
      <c r="F549" s="213">
        <v>35773</v>
      </c>
      <c r="G549">
        <v>3</v>
      </c>
      <c r="H549">
        <v>42.74</v>
      </c>
      <c r="I549" t="s">
        <v>1275</v>
      </c>
      <c r="J549" t="s">
        <v>1276</v>
      </c>
      <c r="K549" t="s">
        <v>1277</v>
      </c>
      <c r="M549">
        <v>1307</v>
      </c>
      <c r="N549" t="s">
        <v>1184</v>
      </c>
    </row>
    <row r="550" spans="1:14">
      <c r="A550">
        <v>10766</v>
      </c>
      <c r="B550" t="s">
        <v>1228</v>
      </c>
      <c r="C550">
        <v>4</v>
      </c>
      <c r="D550" s="213">
        <v>35769</v>
      </c>
      <c r="E550" s="213">
        <v>35797</v>
      </c>
      <c r="F550" s="213">
        <v>35773</v>
      </c>
      <c r="G550">
        <v>1</v>
      </c>
      <c r="H550">
        <v>157.55000000000001</v>
      </c>
      <c r="I550" t="s">
        <v>1229</v>
      </c>
      <c r="J550" t="s">
        <v>1230</v>
      </c>
      <c r="K550" t="s">
        <v>1231</v>
      </c>
      <c r="M550">
        <v>50739</v>
      </c>
      <c r="N550" t="s">
        <v>1184</v>
      </c>
    </row>
    <row r="551" spans="1:14">
      <c r="A551">
        <v>10767</v>
      </c>
      <c r="B551" t="s">
        <v>1193</v>
      </c>
      <c r="C551">
        <v>4</v>
      </c>
      <c r="D551" s="213">
        <v>35769</v>
      </c>
      <c r="E551" s="213">
        <v>35797</v>
      </c>
      <c r="F551" s="213">
        <v>35779</v>
      </c>
      <c r="G551">
        <v>3</v>
      </c>
      <c r="H551">
        <v>1.59</v>
      </c>
      <c r="I551" t="s">
        <v>1194</v>
      </c>
      <c r="J551" t="s">
        <v>1195</v>
      </c>
      <c r="K551" t="s">
        <v>1196</v>
      </c>
      <c r="M551" t="s">
        <v>1197</v>
      </c>
      <c r="N551" t="s">
        <v>833</v>
      </c>
    </row>
    <row r="552" spans="1:14">
      <c r="A552">
        <v>10768</v>
      </c>
      <c r="B552" t="s">
        <v>1423</v>
      </c>
      <c r="C552">
        <v>3</v>
      </c>
      <c r="D552" s="213">
        <v>35772</v>
      </c>
      <c r="E552" s="213">
        <v>35800</v>
      </c>
      <c r="F552" s="213">
        <v>35779</v>
      </c>
      <c r="G552">
        <v>2</v>
      </c>
      <c r="H552">
        <v>146.32</v>
      </c>
      <c r="I552" t="s">
        <v>1424</v>
      </c>
      <c r="J552" t="s">
        <v>1425</v>
      </c>
    </row>
    <row r="553" spans="1:14">
      <c r="A553" t="s">
        <v>1426</v>
      </c>
      <c r="B553" t="s">
        <v>1427</v>
      </c>
      <c r="C553" t="s">
        <v>1428</v>
      </c>
      <c r="D553" t="s">
        <v>1429</v>
      </c>
      <c r="E553" t="s">
        <v>1321</v>
      </c>
    </row>
    <row r="554" spans="1:14">
      <c r="A554">
        <v>10769</v>
      </c>
      <c r="B554" t="s">
        <v>1449</v>
      </c>
      <c r="C554">
        <v>3</v>
      </c>
      <c r="D554" s="213">
        <v>35772</v>
      </c>
      <c r="E554" s="213">
        <v>35800</v>
      </c>
      <c r="F554" s="213">
        <v>35776</v>
      </c>
      <c r="G554">
        <v>1</v>
      </c>
      <c r="H554">
        <v>65.06</v>
      </c>
      <c r="I554" t="s">
        <v>1450</v>
      </c>
      <c r="J554" t="s">
        <v>1451</v>
      </c>
      <c r="K554" t="s">
        <v>1452</v>
      </c>
      <c r="M554">
        <v>8200</v>
      </c>
      <c r="N554" t="s">
        <v>1410</v>
      </c>
    </row>
    <row r="555" spans="1:14">
      <c r="A555">
        <v>10770</v>
      </c>
      <c r="B555" t="s">
        <v>1185</v>
      </c>
      <c r="C555">
        <v>8</v>
      </c>
      <c r="D555" s="213">
        <v>35773</v>
      </c>
      <c r="E555" s="213">
        <v>35801</v>
      </c>
      <c r="F555" s="213">
        <v>35781</v>
      </c>
      <c r="G555">
        <v>3</v>
      </c>
      <c r="H555">
        <v>5.32</v>
      </c>
      <c r="I555" t="s">
        <v>1186</v>
      </c>
      <c r="J555" t="s">
        <v>1187</v>
      </c>
      <c r="K555" t="s">
        <v>1158</v>
      </c>
      <c r="L555" t="s">
        <v>57</v>
      </c>
      <c r="M555" t="s">
        <v>1188</v>
      </c>
      <c r="N555" t="s">
        <v>831</v>
      </c>
    </row>
    <row r="556" spans="1:14">
      <c r="A556">
        <v>10771</v>
      </c>
      <c r="B556" t="s">
        <v>1218</v>
      </c>
      <c r="C556">
        <v>9</v>
      </c>
      <c r="D556" s="213">
        <v>35774</v>
      </c>
      <c r="E556" s="213">
        <v>35802</v>
      </c>
      <c r="F556" s="213">
        <v>35797</v>
      </c>
      <c r="G556">
        <v>2</v>
      </c>
      <c r="H556">
        <v>11.19</v>
      </c>
      <c r="I556" t="s">
        <v>1219</v>
      </c>
      <c r="J556" t="s">
        <v>1220</v>
      </c>
      <c r="K556" t="s">
        <v>1221</v>
      </c>
      <c r="M556">
        <v>8010</v>
      </c>
      <c r="N556" t="s">
        <v>1222</v>
      </c>
    </row>
    <row r="557" spans="1:14">
      <c r="A557">
        <v>10772</v>
      </c>
      <c r="B557" t="s">
        <v>1294</v>
      </c>
      <c r="C557">
        <v>3</v>
      </c>
      <c r="D557" s="213">
        <v>35774</v>
      </c>
      <c r="E557" s="213">
        <v>35802</v>
      </c>
      <c r="F557" s="213">
        <v>35783</v>
      </c>
      <c r="G557">
        <v>2</v>
      </c>
      <c r="H557">
        <v>91.28</v>
      </c>
      <c r="I557" t="s">
        <v>1295</v>
      </c>
      <c r="J557" t="s">
        <v>1296</v>
      </c>
      <c r="K557" t="s">
        <v>1297</v>
      </c>
      <c r="M557">
        <v>60528</v>
      </c>
      <c r="N557" t="s">
        <v>1184</v>
      </c>
    </row>
    <row r="558" spans="1:14">
      <c r="A558">
        <v>10773</v>
      </c>
      <c r="B558" t="s">
        <v>1218</v>
      </c>
      <c r="C558">
        <v>1</v>
      </c>
      <c r="D558" s="213">
        <v>35775</v>
      </c>
      <c r="E558" s="213">
        <v>35803</v>
      </c>
      <c r="F558" s="213">
        <v>35780</v>
      </c>
      <c r="G558">
        <v>3</v>
      </c>
      <c r="H558">
        <v>96.43</v>
      </c>
      <c r="I558" t="s">
        <v>1219</v>
      </c>
      <c r="J558" t="s">
        <v>1220</v>
      </c>
      <c r="K558" t="s">
        <v>1221</v>
      </c>
      <c r="M558">
        <v>8010</v>
      </c>
      <c r="N558" t="s">
        <v>1222</v>
      </c>
    </row>
    <row r="559" spans="1:14">
      <c r="A559">
        <v>10774</v>
      </c>
      <c r="B559" t="s">
        <v>1242</v>
      </c>
      <c r="C559">
        <v>4</v>
      </c>
      <c r="D559" s="213">
        <v>35775</v>
      </c>
      <c r="E559" s="213">
        <v>35789</v>
      </c>
      <c r="F559" s="213">
        <v>35776</v>
      </c>
      <c r="G559">
        <v>1</v>
      </c>
      <c r="H559">
        <v>48.2</v>
      </c>
      <c r="I559" t="s">
        <v>1243</v>
      </c>
      <c r="J559" t="s">
        <v>1244</v>
      </c>
      <c r="K559" t="s">
        <v>1245</v>
      </c>
      <c r="M559" t="s">
        <v>1246</v>
      </c>
      <c r="N559" t="s">
        <v>829</v>
      </c>
    </row>
    <row r="560" spans="1:14">
      <c r="A560">
        <v>10775</v>
      </c>
      <c r="B560" t="s">
        <v>1554</v>
      </c>
      <c r="C560">
        <v>7</v>
      </c>
      <c r="D560" s="213">
        <v>35776</v>
      </c>
      <c r="E560" s="213">
        <v>35804</v>
      </c>
      <c r="F560" s="213">
        <v>35790</v>
      </c>
      <c r="G560">
        <v>1</v>
      </c>
      <c r="H560">
        <v>20.25</v>
      </c>
      <c r="I560" t="s">
        <v>1555</v>
      </c>
      <c r="J560" t="s">
        <v>1556</v>
      </c>
      <c r="K560" t="s">
        <v>1557</v>
      </c>
      <c r="L560" t="s">
        <v>1558</v>
      </c>
      <c r="M560">
        <v>59801</v>
      </c>
      <c r="N560" t="s">
        <v>1241</v>
      </c>
    </row>
    <row r="561" spans="1:14">
      <c r="A561">
        <v>10776</v>
      </c>
      <c r="B561" t="s">
        <v>1218</v>
      </c>
      <c r="C561">
        <v>1</v>
      </c>
      <c r="D561" s="213">
        <v>35779</v>
      </c>
      <c r="E561" s="213">
        <v>35807</v>
      </c>
      <c r="F561" s="213">
        <v>35782</v>
      </c>
      <c r="G561">
        <v>3</v>
      </c>
      <c r="H561">
        <v>351.53</v>
      </c>
      <c r="I561" t="s">
        <v>1219</v>
      </c>
      <c r="J561" t="s">
        <v>1220</v>
      </c>
      <c r="K561" t="s">
        <v>1221</v>
      </c>
      <c r="M561">
        <v>8010</v>
      </c>
      <c r="N561" t="s">
        <v>1222</v>
      </c>
    </row>
    <row r="562" spans="1:14">
      <c r="A562">
        <v>10777</v>
      </c>
      <c r="B562" t="s">
        <v>1498</v>
      </c>
      <c r="C562">
        <v>7</v>
      </c>
      <c r="D562" s="213">
        <v>35779</v>
      </c>
      <c r="E562" s="213">
        <v>35793</v>
      </c>
      <c r="F562" s="213">
        <v>35816</v>
      </c>
      <c r="G562">
        <v>2</v>
      </c>
      <c r="H562">
        <v>3.01</v>
      </c>
      <c r="I562" t="s">
        <v>1499</v>
      </c>
      <c r="J562" t="s">
        <v>1500</v>
      </c>
      <c r="K562" t="s">
        <v>937</v>
      </c>
      <c r="L562" t="s">
        <v>38</v>
      </c>
      <c r="M562" t="s">
        <v>1501</v>
      </c>
      <c r="N562" t="s">
        <v>831</v>
      </c>
    </row>
    <row r="563" spans="1:14">
      <c r="A563">
        <v>10778</v>
      </c>
      <c r="B563" t="s">
        <v>1289</v>
      </c>
      <c r="C563">
        <v>3</v>
      </c>
      <c r="D563" s="213">
        <v>35780</v>
      </c>
      <c r="E563" s="213">
        <v>35808</v>
      </c>
      <c r="F563" s="213">
        <v>35788</v>
      </c>
      <c r="G563">
        <v>1</v>
      </c>
      <c r="H563">
        <v>6.79</v>
      </c>
      <c r="I563" t="s">
        <v>1290</v>
      </c>
      <c r="J563" t="s">
        <v>1291</v>
      </c>
      <c r="K563" t="s">
        <v>1292</v>
      </c>
      <c r="M563" t="s">
        <v>1293</v>
      </c>
      <c r="N563" t="s">
        <v>829</v>
      </c>
    </row>
    <row r="564" spans="1:14">
      <c r="A564">
        <v>10779</v>
      </c>
      <c r="B564" t="s">
        <v>1285</v>
      </c>
      <c r="C564">
        <v>3</v>
      </c>
      <c r="D564" s="213">
        <v>35780</v>
      </c>
      <c r="E564" s="213">
        <v>35808</v>
      </c>
      <c r="F564" s="213">
        <v>35809</v>
      </c>
      <c r="G564">
        <v>2</v>
      </c>
      <c r="H564">
        <v>58.13</v>
      </c>
      <c r="I564" t="s">
        <v>1286</v>
      </c>
      <c r="J564" t="s">
        <v>1287</v>
      </c>
      <c r="K564" t="s">
        <v>1288</v>
      </c>
      <c r="M564">
        <v>4179</v>
      </c>
      <c r="N564" t="s">
        <v>1184</v>
      </c>
    </row>
    <row r="565" spans="1:14">
      <c r="A565">
        <v>10780</v>
      </c>
      <c r="B565" t="s">
        <v>1303</v>
      </c>
      <c r="C565">
        <v>2</v>
      </c>
      <c r="D565" s="213">
        <v>35780</v>
      </c>
      <c r="E565" s="213">
        <v>35794</v>
      </c>
      <c r="F565" s="213">
        <v>35789</v>
      </c>
      <c r="G565">
        <v>1</v>
      </c>
      <c r="H565">
        <v>42.13</v>
      </c>
      <c r="I565" t="s">
        <v>1304</v>
      </c>
      <c r="J565" t="s">
        <v>1305</v>
      </c>
      <c r="K565" t="s">
        <v>1306</v>
      </c>
      <c r="L565" t="s">
        <v>1307</v>
      </c>
      <c r="M565">
        <v>3508</v>
      </c>
      <c r="N565" t="s">
        <v>1217</v>
      </c>
    </row>
    <row r="566" spans="1:14">
      <c r="A566">
        <v>10781</v>
      </c>
      <c r="B566" t="s">
        <v>1251</v>
      </c>
      <c r="C566">
        <v>2</v>
      </c>
      <c r="D566" s="213">
        <v>35781</v>
      </c>
      <c r="E566" s="213">
        <v>35809</v>
      </c>
      <c r="F566" s="213">
        <v>35783</v>
      </c>
      <c r="G566">
        <v>3</v>
      </c>
      <c r="H566">
        <v>73.16</v>
      </c>
      <c r="I566" t="s">
        <v>1252</v>
      </c>
      <c r="J566" t="s">
        <v>1253</v>
      </c>
      <c r="K566" t="s">
        <v>1254</v>
      </c>
      <c r="M566">
        <v>90110</v>
      </c>
      <c r="N566" t="s">
        <v>1255</v>
      </c>
    </row>
    <row r="567" spans="1:14">
      <c r="A567">
        <v>10782</v>
      </c>
      <c r="B567" t="s">
        <v>1528</v>
      </c>
      <c r="C567">
        <v>9</v>
      </c>
      <c r="D567" s="213">
        <v>35781</v>
      </c>
      <c r="E567" s="213">
        <v>35809</v>
      </c>
      <c r="F567" s="213">
        <v>35786</v>
      </c>
      <c r="G567">
        <v>3</v>
      </c>
      <c r="H567">
        <v>1.1000000000000001</v>
      </c>
      <c r="I567" t="s">
        <v>1529</v>
      </c>
      <c r="J567" t="s">
        <v>1530</v>
      </c>
      <c r="K567" t="s">
        <v>1492</v>
      </c>
      <c r="M567">
        <v>1010</v>
      </c>
      <c r="N567" t="s">
        <v>1493</v>
      </c>
    </row>
    <row r="568" spans="1:14">
      <c r="A568">
        <v>10783</v>
      </c>
      <c r="B568" t="s">
        <v>1185</v>
      </c>
      <c r="C568">
        <v>4</v>
      </c>
      <c r="D568" s="213">
        <v>35782</v>
      </c>
      <c r="E568" s="213">
        <v>35810</v>
      </c>
      <c r="F568" s="213">
        <v>35783</v>
      </c>
      <c r="G568">
        <v>2</v>
      </c>
      <c r="H568">
        <v>124.98</v>
      </c>
      <c r="I568" t="s">
        <v>1186</v>
      </c>
      <c r="J568" t="s">
        <v>1187</v>
      </c>
      <c r="K568" t="s">
        <v>1158</v>
      </c>
      <c r="L568" t="s">
        <v>57</v>
      </c>
      <c r="M568" t="s">
        <v>1188</v>
      </c>
      <c r="N568" t="s">
        <v>831</v>
      </c>
    </row>
    <row r="569" spans="1:14">
      <c r="A569">
        <v>10784</v>
      </c>
      <c r="B569" t="s">
        <v>1278</v>
      </c>
      <c r="C569">
        <v>4</v>
      </c>
      <c r="D569" s="213">
        <v>35782</v>
      </c>
      <c r="E569" s="213">
        <v>35810</v>
      </c>
      <c r="F569" s="213">
        <v>35786</v>
      </c>
      <c r="G569">
        <v>3</v>
      </c>
      <c r="H569">
        <v>70.09</v>
      </c>
      <c r="I569" t="s">
        <v>1279</v>
      </c>
      <c r="J569" t="s">
        <v>1280</v>
      </c>
      <c r="K569" t="s">
        <v>1281</v>
      </c>
      <c r="M569">
        <v>24100</v>
      </c>
      <c r="N569" t="s">
        <v>827</v>
      </c>
    </row>
    <row r="570" spans="1:14">
      <c r="A570">
        <v>10785</v>
      </c>
      <c r="B570" t="s">
        <v>1260</v>
      </c>
      <c r="C570">
        <v>1</v>
      </c>
      <c r="D570" s="213">
        <v>35782</v>
      </c>
      <c r="E570" s="213">
        <v>35810</v>
      </c>
      <c r="F570" s="213">
        <v>35788</v>
      </c>
      <c r="G570">
        <v>3</v>
      </c>
      <c r="H570">
        <v>1.51</v>
      </c>
      <c r="I570" t="s">
        <v>1261</v>
      </c>
      <c r="J570" t="s">
        <v>1262</v>
      </c>
      <c r="K570" t="s">
        <v>1263</v>
      </c>
      <c r="L570" t="s">
        <v>77</v>
      </c>
      <c r="M570">
        <v>1081</v>
      </c>
      <c r="N570" t="s">
        <v>1217</v>
      </c>
    </row>
    <row r="571" spans="1:14">
      <c r="A571">
        <v>10786</v>
      </c>
      <c r="B571" t="s">
        <v>1453</v>
      </c>
      <c r="C571">
        <v>8</v>
      </c>
      <c r="D571" s="213">
        <v>35783</v>
      </c>
      <c r="E571" s="213">
        <v>35811</v>
      </c>
      <c r="F571" s="213">
        <v>35787</v>
      </c>
      <c r="G571">
        <v>1</v>
      </c>
      <c r="H571">
        <v>110.87</v>
      </c>
      <c r="I571" t="s">
        <v>1454</v>
      </c>
      <c r="J571" t="s">
        <v>1455</v>
      </c>
      <c r="K571" t="s">
        <v>983</v>
      </c>
      <c r="L571" t="s">
        <v>38</v>
      </c>
      <c r="M571" t="s">
        <v>1456</v>
      </c>
      <c r="N571" t="s">
        <v>831</v>
      </c>
    </row>
    <row r="572" spans="1:14">
      <c r="A572">
        <v>10787</v>
      </c>
      <c r="B572" t="s">
        <v>1415</v>
      </c>
      <c r="C572">
        <v>2</v>
      </c>
      <c r="D572" s="213">
        <v>35783</v>
      </c>
      <c r="E572" s="213">
        <v>35797</v>
      </c>
      <c r="F572" s="213">
        <v>35790</v>
      </c>
      <c r="G572">
        <v>1</v>
      </c>
      <c r="H572">
        <v>249.93</v>
      </c>
      <c r="I572" t="s">
        <v>1416</v>
      </c>
      <c r="J572" t="s">
        <v>1417</v>
      </c>
      <c r="K572" t="s">
        <v>1418</v>
      </c>
      <c r="M572">
        <v>31000</v>
      </c>
      <c r="N572" t="s">
        <v>824</v>
      </c>
    </row>
    <row r="573" spans="1:14">
      <c r="A573">
        <v>10788</v>
      </c>
      <c r="B573" t="s">
        <v>1274</v>
      </c>
      <c r="C573">
        <v>1</v>
      </c>
      <c r="D573" s="213">
        <v>35786</v>
      </c>
      <c r="E573" s="213">
        <v>35814</v>
      </c>
      <c r="F573" s="213">
        <v>35814</v>
      </c>
      <c r="G573">
        <v>2</v>
      </c>
      <c r="H573">
        <v>42.7</v>
      </c>
      <c r="I573" t="s">
        <v>1275</v>
      </c>
      <c r="J573" t="s">
        <v>1276</v>
      </c>
      <c r="K573" t="s">
        <v>1277</v>
      </c>
      <c r="M573">
        <v>1307</v>
      </c>
      <c r="N573" t="s">
        <v>1184</v>
      </c>
    </row>
    <row r="574" spans="1:14">
      <c r="A574">
        <v>10789</v>
      </c>
      <c r="B574" t="s">
        <v>1484</v>
      </c>
      <c r="C574">
        <v>1</v>
      </c>
      <c r="D574" s="213">
        <v>35786</v>
      </c>
      <c r="E574" s="213">
        <v>35814</v>
      </c>
      <c r="F574" s="213">
        <v>35795</v>
      </c>
      <c r="G574">
        <v>2</v>
      </c>
      <c r="H574">
        <v>100.6</v>
      </c>
      <c r="I574" t="s">
        <v>1485</v>
      </c>
      <c r="J574" t="s">
        <v>1486</v>
      </c>
      <c r="K574" t="s">
        <v>1487</v>
      </c>
      <c r="M574">
        <v>59000</v>
      </c>
      <c r="N574" t="s">
        <v>824</v>
      </c>
    </row>
    <row r="575" spans="1:14">
      <c r="A575">
        <v>10790</v>
      </c>
      <c r="B575" t="s">
        <v>1498</v>
      </c>
      <c r="C575">
        <v>6</v>
      </c>
      <c r="D575" s="213">
        <v>35786</v>
      </c>
      <c r="E575" s="213">
        <v>35814</v>
      </c>
      <c r="F575" s="213">
        <v>35790</v>
      </c>
      <c r="G575">
        <v>1</v>
      </c>
      <c r="H575">
        <v>28.23</v>
      </c>
      <c r="I575" t="s">
        <v>1499</v>
      </c>
      <c r="J575" t="s">
        <v>1500</v>
      </c>
      <c r="K575" t="s">
        <v>937</v>
      </c>
      <c r="L575" t="s">
        <v>38</v>
      </c>
      <c r="M575" t="s">
        <v>1501</v>
      </c>
      <c r="N575" t="s">
        <v>831</v>
      </c>
    </row>
    <row r="576" spans="1:14">
      <c r="A576">
        <v>10791</v>
      </c>
      <c r="B576" t="s">
        <v>1256</v>
      </c>
      <c r="C576">
        <v>6</v>
      </c>
      <c r="D576" s="213">
        <v>35787</v>
      </c>
      <c r="E576" s="213">
        <v>35815</v>
      </c>
      <c r="F576" s="213">
        <v>35796</v>
      </c>
      <c r="G576">
        <v>2</v>
      </c>
      <c r="H576">
        <v>16.850000000000001</v>
      </c>
      <c r="I576" t="s">
        <v>1257</v>
      </c>
      <c r="J576" t="s">
        <v>1258</v>
      </c>
      <c r="K576" t="s">
        <v>1259</v>
      </c>
      <c r="M576">
        <v>80805</v>
      </c>
      <c r="N576" t="s">
        <v>1184</v>
      </c>
    </row>
    <row r="577" spans="1:14">
      <c r="A577">
        <v>10792</v>
      </c>
      <c r="B577" t="s">
        <v>1457</v>
      </c>
      <c r="C577">
        <v>1</v>
      </c>
      <c r="D577" s="213">
        <v>35787</v>
      </c>
      <c r="E577" s="213">
        <v>35815</v>
      </c>
      <c r="F577" s="213">
        <v>35795</v>
      </c>
      <c r="G577">
        <v>3</v>
      </c>
      <c r="H577">
        <v>23.79</v>
      </c>
      <c r="I577" t="s">
        <v>1458</v>
      </c>
      <c r="J577" t="s">
        <v>1459</v>
      </c>
      <c r="K577" t="s">
        <v>1460</v>
      </c>
      <c r="M577" t="s">
        <v>1461</v>
      </c>
      <c r="N577" t="s">
        <v>1462</v>
      </c>
    </row>
    <row r="578" spans="1:14">
      <c r="A578">
        <v>10793</v>
      </c>
      <c r="B578" t="s">
        <v>1423</v>
      </c>
      <c r="C578">
        <v>3</v>
      </c>
      <c r="D578" s="213">
        <v>35788</v>
      </c>
      <c r="E578" s="213">
        <v>35816</v>
      </c>
      <c r="F578" s="213">
        <v>35803</v>
      </c>
      <c r="G578">
        <v>3</v>
      </c>
      <c r="H578">
        <v>4.5199999999999996</v>
      </c>
      <c r="I578" t="s">
        <v>1424</v>
      </c>
      <c r="J578" t="s">
        <v>1425</v>
      </c>
    </row>
    <row r="579" spans="1:14">
      <c r="A579" t="s">
        <v>1426</v>
      </c>
      <c r="B579" t="s">
        <v>1427</v>
      </c>
      <c r="C579" t="s">
        <v>1428</v>
      </c>
      <c r="D579" t="s">
        <v>1429</v>
      </c>
      <c r="E579" t="s">
        <v>1321</v>
      </c>
    </row>
    <row r="580" spans="1:14">
      <c r="A580">
        <v>10794</v>
      </c>
      <c r="B580" t="s">
        <v>1232</v>
      </c>
      <c r="C580">
        <v>6</v>
      </c>
      <c r="D580" s="213">
        <v>35788</v>
      </c>
      <c r="E580" s="213">
        <v>35816</v>
      </c>
      <c r="F580" s="213">
        <v>35797</v>
      </c>
      <c r="G580">
        <v>1</v>
      </c>
      <c r="H580">
        <v>21.49</v>
      </c>
      <c r="I580" t="s">
        <v>1233</v>
      </c>
      <c r="J580" t="s">
        <v>1234</v>
      </c>
      <c r="K580" t="s">
        <v>1158</v>
      </c>
      <c r="L580" t="s">
        <v>57</v>
      </c>
      <c r="M580" t="s">
        <v>1235</v>
      </c>
      <c r="N580" t="s">
        <v>831</v>
      </c>
    </row>
    <row r="581" spans="1:14">
      <c r="A581">
        <v>10795</v>
      </c>
      <c r="B581" t="s">
        <v>1218</v>
      </c>
      <c r="C581">
        <v>8</v>
      </c>
      <c r="D581" s="213">
        <v>35788</v>
      </c>
      <c r="E581" s="213">
        <v>35816</v>
      </c>
      <c r="F581" s="213">
        <v>35815</v>
      </c>
      <c r="G581">
        <v>2</v>
      </c>
      <c r="H581">
        <v>126.66</v>
      </c>
      <c r="I581" t="s">
        <v>1219</v>
      </c>
      <c r="J581" t="s">
        <v>1220</v>
      </c>
      <c r="K581" t="s">
        <v>1221</v>
      </c>
      <c r="M581">
        <v>8010</v>
      </c>
      <c r="N581" t="s">
        <v>1222</v>
      </c>
    </row>
    <row r="582" spans="1:14">
      <c r="A582">
        <v>10796</v>
      </c>
      <c r="B582" t="s">
        <v>1212</v>
      </c>
      <c r="C582">
        <v>3</v>
      </c>
      <c r="D582" s="213">
        <v>35789</v>
      </c>
      <c r="E582" s="213">
        <v>35817</v>
      </c>
      <c r="F582" s="213">
        <v>35809</v>
      </c>
      <c r="G582">
        <v>1</v>
      </c>
      <c r="H582">
        <v>26.52</v>
      </c>
      <c r="I582" t="s">
        <v>1213</v>
      </c>
      <c r="J582" t="s">
        <v>1214</v>
      </c>
      <c r="K582" t="s">
        <v>1215</v>
      </c>
      <c r="L582" t="s">
        <v>1216</v>
      </c>
      <c r="M582">
        <v>5022</v>
      </c>
      <c r="N582" t="s">
        <v>1217</v>
      </c>
    </row>
    <row r="583" spans="1:14">
      <c r="A583">
        <v>10797</v>
      </c>
      <c r="B583" t="s">
        <v>1434</v>
      </c>
      <c r="C583">
        <v>7</v>
      </c>
      <c r="D583" s="213">
        <v>35789</v>
      </c>
      <c r="E583" s="213">
        <v>35817</v>
      </c>
      <c r="F583" s="213">
        <v>35800</v>
      </c>
      <c r="G583">
        <v>2</v>
      </c>
      <c r="H583">
        <v>33.35</v>
      </c>
      <c r="I583" t="s">
        <v>1435</v>
      </c>
      <c r="J583" t="s">
        <v>1436</v>
      </c>
      <c r="K583" t="s">
        <v>1437</v>
      </c>
      <c r="M583">
        <v>52066</v>
      </c>
      <c r="N583" t="s">
        <v>1184</v>
      </c>
    </row>
    <row r="584" spans="1:14">
      <c r="A584">
        <v>10798</v>
      </c>
      <c r="B584" t="s">
        <v>1365</v>
      </c>
      <c r="C584">
        <v>2</v>
      </c>
      <c r="D584" s="213">
        <v>35790</v>
      </c>
      <c r="E584" s="213">
        <v>35818</v>
      </c>
      <c r="F584" s="213">
        <v>35800</v>
      </c>
      <c r="G584">
        <v>1</v>
      </c>
      <c r="H584">
        <v>2.33</v>
      </c>
      <c r="I584" t="s">
        <v>1366</v>
      </c>
      <c r="J584" t="s">
        <v>1367</v>
      </c>
    </row>
    <row r="585" spans="1:14">
      <c r="A585" t="s">
        <v>1368</v>
      </c>
      <c r="B585" t="s">
        <v>1369</v>
      </c>
      <c r="C585" t="s">
        <v>1370</v>
      </c>
      <c r="D585" t="s">
        <v>1371</v>
      </c>
      <c r="E585" t="s">
        <v>1321</v>
      </c>
    </row>
    <row r="586" spans="1:14">
      <c r="A586">
        <v>10799</v>
      </c>
      <c r="B586" t="s">
        <v>1375</v>
      </c>
      <c r="C586">
        <v>9</v>
      </c>
      <c r="D586" s="213">
        <v>35790</v>
      </c>
      <c r="E586" s="213">
        <v>35832</v>
      </c>
      <c r="F586" s="213">
        <v>35800</v>
      </c>
      <c r="G586">
        <v>3</v>
      </c>
      <c r="H586">
        <v>30.76</v>
      </c>
      <c r="I586" t="s">
        <v>1376</v>
      </c>
      <c r="J586" t="s">
        <v>1377</v>
      </c>
      <c r="K586" t="s">
        <v>1378</v>
      </c>
      <c r="M586">
        <v>14776</v>
      </c>
      <c r="N586" t="s">
        <v>1184</v>
      </c>
    </row>
    <row r="587" spans="1:14">
      <c r="A587">
        <v>10800</v>
      </c>
      <c r="B587" t="s">
        <v>1430</v>
      </c>
      <c r="C587">
        <v>1</v>
      </c>
      <c r="D587" s="213">
        <v>35790</v>
      </c>
      <c r="E587" s="213">
        <v>35818</v>
      </c>
      <c r="F587" s="213">
        <v>35800</v>
      </c>
      <c r="G587">
        <v>3</v>
      </c>
      <c r="H587">
        <v>137.44</v>
      </c>
      <c r="I587" t="s">
        <v>1431</v>
      </c>
      <c r="J587" t="s">
        <v>1432</v>
      </c>
      <c r="K587" t="s">
        <v>1319</v>
      </c>
      <c r="M587" t="s">
        <v>1433</v>
      </c>
      <c r="N587" t="s">
        <v>1321</v>
      </c>
    </row>
    <row r="588" spans="1:14">
      <c r="A588">
        <v>10801</v>
      </c>
      <c r="B588" t="s">
        <v>1384</v>
      </c>
      <c r="C588">
        <v>4</v>
      </c>
      <c r="D588" s="213">
        <v>35793</v>
      </c>
      <c r="E588" s="213">
        <v>35821</v>
      </c>
      <c r="F588" s="213">
        <v>35795</v>
      </c>
      <c r="G588">
        <v>2</v>
      </c>
      <c r="H588">
        <v>97.09</v>
      </c>
      <c r="I588" t="s">
        <v>1385</v>
      </c>
      <c r="J588" t="s">
        <v>1386</v>
      </c>
      <c r="K588" t="s">
        <v>1301</v>
      </c>
      <c r="M588">
        <v>28023</v>
      </c>
      <c r="N588" t="s">
        <v>1302</v>
      </c>
    </row>
    <row r="589" spans="1:14">
      <c r="A589">
        <v>10802</v>
      </c>
      <c r="B589" t="s">
        <v>1406</v>
      </c>
      <c r="C589">
        <v>4</v>
      </c>
      <c r="D589" s="213">
        <v>35793</v>
      </c>
      <c r="E589" s="213">
        <v>35821</v>
      </c>
      <c r="F589" s="213">
        <v>35797</v>
      </c>
      <c r="G589">
        <v>2</v>
      </c>
      <c r="H589">
        <v>257.26</v>
      </c>
      <c r="I589" t="s">
        <v>1407</v>
      </c>
      <c r="J589" t="s">
        <v>1408</v>
      </c>
      <c r="K589" t="s">
        <v>1409</v>
      </c>
      <c r="M589">
        <v>1734</v>
      </c>
      <c r="N589" t="s">
        <v>1410</v>
      </c>
    </row>
    <row r="590" spans="1:14">
      <c r="A590">
        <v>10803</v>
      </c>
      <c r="B590" t="s">
        <v>1207</v>
      </c>
      <c r="C590">
        <v>4</v>
      </c>
      <c r="D590" s="213">
        <v>35794</v>
      </c>
      <c r="E590" s="213">
        <v>35822</v>
      </c>
      <c r="F590" s="213">
        <v>35801</v>
      </c>
      <c r="G590">
        <v>1</v>
      </c>
      <c r="H590">
        <v>55.23</v>
      </c>
      <c r="I590" t="s">
        <v>1208</v>
      </c>
      <c r="J590" t="s">
        <v>1209</v>
      </c>
      <c r="K590" t="s">
        <v>1210</v>
      </c>
      <c r="L590" t="s">
        <v>38</v>
      </c>
      <c r="M590" t="s">
        <v>1211</v>
      </c>
      <c r="N590" t="s">
        <v>831</v>
      </c>
    </row>
    <row r="591" spans="1:14">
      <c r="A591">
        <v>10804</v>
      </c>
      <c r="B591" t="s">
        <v>1430</v>
      </c>
      <c r="C591">
        <v>6</v>
      </c>
      <c r="D591" s="213">
        <v>35794</v>
      </c>
      <c r="E591" s="213">
        <v>35822</v>
      </c>
      <c r="F591" s="213">
        <v>35802</v>
      </c>
      <c r="G591">
        <v>2</v>
      </c>
      <c r="H591">
        <v>27.33</v>
      </c>
      <c r="I591" t="s">
        <v>1431</v>
      </c>
      <c r="J591" t="s">
        <v>1432</v>
      </c>
      <c r="K591" t="s">
        <v>1319</v>
      </c>
      <c r="M591" t="s">
        <v>1433</v>
      </c>
      <c r="N591" t="s">
        <v>1321</v>
      </c>
    </row>
    <row r="592" spans="1:14">
      <c r="A592">
        <v>10805</v>
      </c>
      <c r="B592" t="s">
        <v>1357</v>
      </c>
      <c r="C592">
        <v>2</v>
      </c>
      <c r="D592" s="213">
        <v>35794</v>
      </c>
      <c r="E592" s="213">
        <v>35822</v>
      </c>
      <c r="F592" s="213">
        <v>35804</v>
      </c>
      <c r="G592">
        <v>3</v>
      </c>
      <c r="H592">
        <v>237.34</v>
      </c>
      <c r="I592" t="s">
        <v>1358</v>
      </c>
      <c r="J592" t="s">
        <v>1359</v>
      </c>
    </row>
    <row r="593" spans="1:14">
      <c r="A593" t="s">
        <v>1360</v>
      </c>
      <c r="B593" t="s">
        <v>1352</v>
      </c>
      <c r="C593" t="s">
        <v>1353</v>
      </c>
      <c r="D593">
        <v>97201</v>
      </c>
      <c r="E593" t="s">
        <v>1241</v>
      </c>
    </row>
    <row r="594" spans="1:14">
      <c r="A594">
        <v>10806</v>
      </c>
      <c r="B594" t="s">
        <v>1189</v>
      </c>
      <c r="C594">
        <v>3</v>
      </c>
      <c r="D594" s="213">
        <v>35795</v>
      </c>
      <c r="E594" s="213">
        <v>35823</v>
      </c>
      <c r="F594" s="213">
        <v>35800</v>
      </c>
      <c r="G594">
        <v>2</v>
      </c>
      <c r="H594">
        <v>22.11</v>
      </c>
      <c r="I594" t="s">
        <v>1190</v>
      </c>
      <c r="J594" t="s">
        <v>1191</v>
      </c>
      <c r="K594" t="s">
        <v>1192</v>
      </c>
      <c r="M594">
        <v>69004</v>
      </c>
      <c r="N594" t="s">
        <v>824</v>
      </c>
    </row>
    <row r="595" spans="1:14">
      <c r="A595">
        <v>10807</v>
      </c>
      <c r="B595" t="s">
        <v>1494</v>
      </c>
      <c r="C595">
        <v>4</v>
      </c>
      <c r="D595" s="213">
        <v>35795</v>
      </c>
      <c r="E595" s="213">
        <v>35823</v>
      </c>
      <c r="F595" s="213">
        <v>35825</v>
      </c>
      <c r="G595">
        <v>1</v>
      </c>
      <c r="H595">
        <v>1.36</v>
      </c>
      <c r="I595" t="s">
        <v>1495</v>
      </c>
      <c r="J595" t="s">
        <v>1496</v>
      </c>
      <c r="K595" t="s">
        <v>1497</v>
      </c>
      <c r="M595">
        <v>10100</v>
      </c>
      <c r="N595" t="s">
        <v>827</v>
      </c>
    </row>
    <row r="596" spans="1:14">
      <c r="A596">
        <v>10808</v>
      </c>
      <c r="B596" t="s">
        <v>1344</v>
      </c>
      <c r="C596">
        <v>2</v>
      </c>
      <c r="D596" s="213">
        <v>35796</v>
      </c>
      <c r="E596" s="213">
        <v>35824</v>
      </c>
      <c r="F596" s="213">
        <v>35804</v>
      </c>
      <c r="G596">
        <v>3</v>
      </c>
      <c r="H596">
        <v>45.53</v>
      </c>
      <c r="I596" t="s">
        <v>1345</v>
      </c>
      <c r="J596" t="s">
        <v>1346</v>
      </c>
      <c r="K596" t="s">
        <v>1347</v>
      </c>
      <c r="L596" t="s">
        <v>1348</v>
      </c>
      <c r="M596">
        <v>99508</v>
      </c>
      <c r="N596" t="s">
        <v>1241</v>
      </c>
    </row>
    <row r="597" spans="1:14">
      <c r="A597">
        <v>10809</v>
      </c>
      <c r="B597" t="s">
        <v>1207</v>
      </c>
      <c r="C597">
        <v>7</v>
      </c>
      <c r="D597" s="213">
        <v>35796</v>
      </c>
      <c r="E597" s="213">
        <v>35824</v>
      </c>
      <c r="F597" s="213">
        <v>35802</v>
      </c>
      <c r="G597">
        <v>1</v>
      </c>
      <c r="H597">
        <v>4.87</v>
      </c>
      <c r="I597" t="s">
        <v>1208</v>
      </c>
      <c r="J597" t="s">
        <v>1209</v>
      </c>
      <c r="K597" t="s">
        <v>1210</v>
      </c>
      <c r="L597" t="s">
        <v>38</v>
      </c>
      <c r="M597" t="s">
        <v>1211</v>
      </c>
      <c r="N597" t="s">
        <v>831</v>
      </c>
    </row>
    <row r="598" spans="1:14">
      <c r="A598">
        <v>10810</v>
      </c>
      <c r="B598" t="s">
        <v>1514</v>
      </c>
      <c r="C598">
        <v>2</v>
      </c>
      <c r="D598" s="213">
        <v>35796</v>
      </c>
      <c r="E598" s="213">
        <v>35824</v>
      </c>
      <c r="F598" s="213">
        <v>35802</v>
      </c>
      <c r="G598">
        <v>3</v>
      </c>
      <c r="H598">
        <v>4.33</v>
      </c>
      <c r="I598" t="s">
        <v>1515</v>
      </c>
      <c r="J598" t="s">
        <v>1516</v>
      </c>
      <c r="K598" t="s">
        <v>1517</v>
      </c>
      <c r="L598" t="s">
        <v>1477</v>
      </c>
      <c r="M598" t="s">
        <v>1518</v>
      </c>
      <c r="N598" t="s">
        <v>1402</v>
      </c>
    </row>
    <row r="599" spans="1:14">
      <c r="A599">
        <v>10811</v>
      </c>
      <c r="B599" t="s">
        <v>1479</v>
      </c>
      <c r="C599">
        <v>8</v>
      </c>
      <c r="D599" s="213">
        <v>35797</v>
      </c>
      <c r="E599" s="213">
        <v>35825</v>
      </c>
      <c r="F599" s="213">
        <v>35803</v>
      </c>
      <c r="G599">
        <v>1</v>
      </c>
      <c r="H599">
        <v>31.22</v>
      </c>
      <c r="I599" t="s">
        <v>1480</v>
      </c>
      <c r="J599" t="s">
        <v>1481</v>
      </c>
      <c r="K599" t="s">
        <v>1482</v>
      </c>
      <c r="L599" t="s">
        <v>1483</v>
      </c>
      <c r="M599">
        <v>4980</v>
      </c>
      <c r="N599" t="s">
        <v>1217</v>
      </c>
    </row>
    <row r="600" spans="1:14">
      <c r="A600">
        <v>10812</v>
      </c>
      <c r="B600" t="s">
        <v>1312</v>
      </c>
      <c r="C600">
        <v>5</v>
      </c>
      <c r="D600" s="213">
        <v>35797</v>
      </c>
      <c r="E600" s="213">
        <v>35825</v>
      </c>
      <c r="F600" s="213">
        <v>35807</v>
      </c>
      <c r="G600">
        <v>1</v>
      </c>
      <c r="H600">
        <v>59.78</v>
      </c>
      <c r="I600" t="s">
        <v>1313</v>
      </c>
      <c r="J600" t="s">
        <v>1314</v>
      </c>
      <c r="K600" t="s">
        <v>1315</v>
      </c>
      <c r="M600">
        <v>42100</v>
      </c>
      <c r="N600" t="s">
        <v>827</v>
      </c>
    </row>
    <row r="601" spans="1:14">
      <c r="A601">
        <v>10813</v>
      </c>
      <c r="B601" t="s">
        <v>1308</v>
      </c>
      <c r="C601">
        <v>1</v>
      </c>
      <c r="D601" s="213">
        <v>35800</v>
      </c>
      <c r="E601" s="213">
        <v>35828</v>
      </c>
      <c r="F601" s="213">
        <v>35804</v>
      </c>
      <c r="G601">
        <v>1</v>
      </c>
      <c r="H601">
        <v>47.38</v>
      </c>
      <c r="I601" t="s">
        <v>1309</v>
      </c>
      <c r="J601" t="s">
        <v>1310</v>
      </c>
      <c r="K601" t="s">
        <v>1158</v>
      </c>
      <c r="L601" t="s">
        <v>57</v>
      </c>
      <c r="M601" t="s">
        <v>1311</v>
      </c>
      <c r="N601" t="s">
        <v>831</v>
      </c>
    </row>
    <row r="602" spans="1:14">
      <c r="A602">
        <v>10814</v>
      </c>
      <c r="B602" t="s">
        <v>1189</v>
      </c>
      <c r="C602">
        <v>3</v>
      </c>
      <c r="D602" s="213">
        <v>35800</v>
      </c>
      <c r="E602" s="213">
        <v>35828</v>
      </c>
      <c r="F602" s="213">
        <v>35809</v>
      </c>
      <c r="G602">
        <v>3</v>
      </c>
      <c r="H602">
        <v>130.94</v>
      </c>
      <c r="I602" t="s">
        <v>1190</v>
      </c>
      <c r="J602" t="s">
        <v>1191</v>
      </c>
      <c r="K602" t="s">
        <v>1192</v>
      </c>
      <c r="M602">
        <v>69004</v>
      </c>
      <c r="N602" t="s">
        <v>824</v>
      </c>
    </row>
    <row r="603" spans="1:14">
      <c r="A603">
        <v>10815</v>
      </c>
      <c r="B603" t="s">
        <v>1379</v>
      </c>
      <c r="C603">
        <v>2</v>
      </c>
      <c r="D603" s="213">
        <v>35800</v>
      </c>
      <c r="E603" s="213">
        <v>35828</v>
      </c>
      <c r="F603" s="213">
        <v>35809</v>
      </c>
      <c r="G603">
        <v>3</v>
      </c>
      <c r="H603">
        <v>14.62</v>
      </c>
      <c r="I603" t="s">
        <v>1380</v>
      </c>
      <c r="J603" t="s">
        <v>1381</v>
      </c>
      <c r="K603" t="s">
        <v>1382</v>
      </c>
      <c r="L603" t="s">
        <v>1383</v>
      </c>
      <c r="M603">
        <v>83720</v>
      </c>
      <c r="N603" t="s">
        <v>1241</v>
      </c>
    </row>
    <row r="604" spans="1:14">
      <c r="A604">
        <v>10816</v>
      </c>
      <c r="B604" t="s">
        <v>1531</v>
      </c>
      <c r="C604">
        <v>4</v>
      </c>
      <c r="D604" s="213">
        <v>35801</v>
      </c>
      <c r="E604" s="213">
        <v>35829</v>
      </c>
      <c r="F604" s="213">
        <v>35830</v>
      </c>
      <c r="G604">
        <v>2</v>
      </c>
      <c r="H604">
        <v>719.78</v>
      </c>
      <c r="I604" t="s">
        <v>1532</v>
      </c>
      <c r="J604" t="s">
        <v>1533</v>
      </c>
      <c r="K604" t="s">
        <v>1534</v>
      </c>
      <c r="L604" t="s">
        <v>1353</v>
      </c>
      <c r="M604">
        <v>97403</v>
      </c>
      <c r="N604" t="s">
        <v>1241</v>
      </c>
    </row>
    <row r="605" spans="1:14">
      <c r="A605">
        <v>10817</v>
      </c>
      <c r="B605" t="s">
        <v>1375</v>
      </c>
      <c r="C605">
        <v>3</v>
      </c>
      <c r="D605" s="213">
        <v>35801</v>
      </c>
      <c r="E605" s="213">
        <v>35815</v>
      </c>
      <c r="F605" s="213">
        <v>35808</v>
      </c>
      <c r="G605">
        <v>2</v>
      </c>
      <c r="H605">
        <v>306.07</v>
      </c>
      <c r="I605" t="s">
        <v>1376</v>
      </c>
      <c r="J605" t="s">
        <v>1377</v>
      </c>
      <c r="K605" t="s">
        <v>1378</v>
      </c>
      <c r="M605">
        <v>14776</v>
      </c>
      <c r="N605" t="s">
        <v>1184</v>
      </c>
    </row>
    <row r="606" spans="1:14">
      <c r="A606">
        <v>10818</v>
      </c>
      <c r="B606" t="s">
        <v>1278</v>
      </c>
      <c r="C606">
        <v>7</v>
      </c>
      <c r="D606" s="213">
        <v>35802</v>
      </c>
      <c r="E606" s="213">
        <v>35830</v>
      </c>
      <c r="F606" s="213">
        <v>35807</v>
      </c>
      <c r="G606">
        <v>3</v>
      </c>
      <c r="H606">
        <v>65.48</v>
      </c>
      <c r="I606" t="s">
        <v>1279</v>
      </c>
      <c r="J606" t="s">
        <v>1280</v>
      </c>
      <c r="K606" t="s">
        <v>1281</v>
      </c>
      <c r="M606">
        <v>24100</v>
      </c>
      <c r="N606" t="s">
        <v>827</v>
      </c>
    </row>
    <row r="607" spans="1:14">
      <c r="A607">
        <v>10819</v>
      </c>
      <c r="B607" t="s">
        <v>1528</v>
      </c>
      <c r="C607">
        <v>2</v>
      </c>
      <c r="D607" s="213">
        <v>35802</v>
      </c>
      <c r="E607" s="213">
        <v>35830</v>
      </c>
      <c r="F607" s="213">
        <v>35811</v>
      </c>
      <c r="G607">
        <v>3</v>
      </c>
      <c r="H607">
        <v>19.760000000000002</v>
      </c>
      <c r="I607" t="s">
        <v>1529</v>
      </c>
      <c r="J607" t="s">
        <v>1530</v>
      </c>
      <c r="K607" t="s">
        <v>1492</v>
      </c>
      <c r="M607">
        <v>1010</v>
      </c>
      <c r="N607" t="s">
        <v>1493</v>
      </c>
    </row>
    <row r="608" spans="1:14">
      <c r="A608">
        <v>10820</v>
      </c>
      <c r="B608" t="s">
        <v>1236</v>
      </c>
      <c r="C608">
        <v>3</v>
      </c>
      <c r="D608" s="213">
        <v>35802</v>
      </c>
      <c r="E608" s="213">
        <v>35830</v>
      </c>
      <c r="F608" s="213">
        <v>35808</v>
      </c>
      <c r="G608">
        <v>2</v>
      </c>
      <c r="H608">
        <v>37.520000000000003</v>
      </c>
      <c r="I608" t="s">
        <v>1237</v>
      </c>
      <c r="J608" t="s">
        <v>1238</v>
      </c>
      <c r="K608" t="s">
        <v>1239</v>
      </c>
      <c r="L608" t="s">
        <v>1240</v>
      </c>
      <c r="M608">
        <v>87110</v>
      </c>
      <c r="N608" t="s">
        <v>1241</v>
      </c>
    </row>
    <row r="609" spans="1:14">
      <c r="A609">
        <v>10821</v>
      </c>
      <c r="B609" t="s">
        <v>1269</v>
      </c>
      <c r="C609">
        <v>1</v>
      </c>
      <c r="D609" s="213">
        <v>35803</v>
      </c>
      <c r="E609" s="213">
        <v>35831</v>
      </c>
      <c r="F609" s="213">
        <v>35810</v>
      </c>
      <c r="G609">
        <v>1</v>
      </c>
      <c r="H609">
        <v>36.68</v>
      </c>
      <c r="I609" t="s">
        <v>1270</v>
      </c>
      <c r="J609" t="s">
        <v>1271</v>
      </c>
      <c r="K609" t="s">
        <v>1272</v>
      </c>
      <c r="L609" t="s">
        <v>1273</v>
      </c>
      <c r="M609">
        <v>82520</v>
      </c>
      <c r="N609" t="s">
        <v>1241</v>
      </c>
    </row>
    <row r="610" spans="1:14">
      <c r="A610">
        <v>10822</v>
      </c>
      <c r="B610" t="s">
        <v>1540</v>
      </c>
      <c r="C610">
        <v>6</v>
      </c>
      <c r="D610" s="213">
        <v>35803</v>
      </c>
      <c r="E610" s="213">
        <v>35831</v>
      </c>
      <c r="F610" s="213">
        <v>35811</v>
      </c>
      <c r="G610">
        <v>3</v>
      </c>
      <c r="H610">
        <v>7</v>
      </c>
      <c r="I610" t="s">
        <v>1541</v>
      </c>
      <c r="J610" t="s">
        <v>1542</v>
      </c>
      <c r="K610" t="s">
        <v>1543</v>
      </c>
      <c r="L610" t="s">
        <v>1268</v>
      </c>
      <c r="M610">
        <v>98034</v>
      </c>
      <c r="N610" t="s">
        <v>1241</v>
      </c>
    </row>
    <row r="611" spans="1:14">
      <c r="A611">
        <v>10823</v>
      </c>
      <c r="B611" t="s">
        <v>1303</v>
      </c>
      <c r="C611">
        <v>5</v>
      </c>
      <c r="D611" s="213">
        <v>35804</v>
      </c>
      <c r="E611" s="213">
        <v>35832</v>
      </c>
      <c r="F611" s="213">
        <v>35808</v>
      </c>
      <c r="G611">
        <v>2</v>
      </c>
      <c r="H611">
        <v>163.97</v>
      </c>
      <c r="I611" t="s">
        <v>1304</v>
      </c>
      <c r="J611" t="s">
        <v>1305</v>
      </c>
      <c r="K611" t="s">
        <v>1306</v>
      </c>
      <c r="L611" t="s">
        <v>1307</v>
      </c>
      <c r="M611">
        <v>3508</v>
      </c>
      <c r="N611" t="s">
        <v>1217</v>
      </c>
    </row>
    <row r="612" spans="1:14">
      <c r="A612">
        <v>10824</v>
      </c>
      <c r="B612" t="s">
        <v>1242</v>
      </c>
      <c r="C612">
        <v>8</v>
      </c>
      <c r="D612" s="213">
        <v>35804</v>
      </c>
      <c r="E612" s="213">
        <v>35832</v>
      </c>
      <c r="F612" s="213">
        <v>35825</v>
      </c>
      <c r="G612">
        <v>1</v>
      </c>
      <c r="H612">
        <v>1.23</v>
      </c>
      <c r="I612" t="s">
        <v>1243</v>
      </c>
      <c r="J612" t="s">
        <v>1244</v>
      </c>
      <c r="K612" t="s">
        <v>1245</v>
      </c>
      <c r="M612" t="s">
        <v>1246</v>
      </c>
      <c r="N612" t="s">
        <v>829</v>
      </c>
    </row>
    <row r="613" spans="1:14">
      <c r="A613">
        <v>10825</v>
      </c>
      <c r="B613" t="s">
        <v>1434</v>
      </c>
      <c r="C613">
        <v>1</v>
      </c>
      <c r="D613" s="213">
        <v>35804</v>
      </c>
      <c r="E613" s="213">
        <v>35832</v>
      </c>
      <c r="F613" s="213">
        <v>35809</v>
      </c>
      <c r="G613">
        <v>1</v>
      </c>
      <c r="H613">
        <v>79.25</v>
      </c>
      <c r="I613" t="s">
        <v>1435</v>
      </c>
      <c r="J613" t="s">
        <v>1436</v>
      </c>
      <c r="K613" t="s">
        <v>1437</v>
      </c>
      <c r="M613">
        <v>52066</v>
      </c>
      <c r="N613" t="s">
        <v>1184</v>
      </c>
    </row>
    <row r="614" spans="1:14">
      <c r="A614">
        <v>10826</v>
      </c>
      <c r="B614" t="s">
        <v>1247</v>
      </c>
      <c r="C614">
        <v>6</v>
      </c>
      <c r="D614" s="213">
        <v>35807</v>
      </c>
      <c r="E614" s="213">
        <v>35835</v>
      </c>
      <c r="F614" s="213">
        <v>35832</v>
      </c>
      <c r="G614">
        <v>1</v>
      </c>
      <c r="H614">
        <v>7.09</v>
      </c>
      <c r="I614" t="s">
        <v>1248</v>
      </c>
      <c r="J614" t="s">
        <v>1249</v>
      </c>
      <c r="K614" t="s">
        <v>1250</v>
      </c>
      <c r="M614">
        <v>67000</v>
      </c>
      <c r="N614" t="s">
        <v>824</v>
      </c>
    </row>
    <row r="615" spans="1:14">
      <c r="A615">
        <v>10827</v>
      </c>
      <c r="B615" t="s">
        <v>1392</v>
      </c>
      <c r="C615">
        <v>1</v>
      </c>
      <c r="D615" s="213">
        <v>35807</v>
      </c>
      <c r="E615" s="213">
        <v>35821</v>
      </c>
      <c r="F615" s="213">
        <v>35832</v>
      </c>
      <c r="G615">
        <v>2</v>
      </c>
      <c r="H615">
        <v>63.54</v>
      </c>
      <c r="I615" t="s">
        <v>1393</v>
      </c>
      <c r="J615" t="s">
        <v>1394</v>
      </c>
      <c r="K615" t="s">
        <v>1395</v>
      </c>
      <c r="M615">
        <v>13008</v>
      </c>
      <c r="N615" t="s">
        <v>824</v>
      </c>
    </row>
    <row r="616" spans="1:14">
      <c r="A616">
        <v>10828</v>
      </c>
      <c r="B616" t="s">
        <v>1507</v>
      </c>
      <c r="C616">
        <v>9</v>
      </c>
      <c r="D616" s="213">
        <v>35808</v>
      </c>
      <c r="E616" s="213">
        <v>35822</v>
      </c>
      <c r="F616" s="213">
        <v>35830</v>
      </c>
      <c r="G616">
        <v>1</v>
      </c>
      <c r="H616">
        <v>90.85</v>
      </c>
      <c r="I616" t="s">
        <v>1508</v>
      </c>
      <c r="J616" t="s">
        <v>1509</v>
      </c>
      <c r="K616" t="s">
        <v>1492</v>
      </c>
      <c r="M616">
        <v>1010</v>
      </c>
      <c r="N616" t="s">
        <v>1493</v>
      </c>
    </row>
    <row r="617" spans="1:14">
      <c r="A617">
        <v>10829</v>
      </c>
      <c r="B617" t="s">
        <v>1365</v>
      </c>
      <c r="C617">
        <v>9</v>
      </c>
      <c r="D617" s="213">
        <v>35808</v>
      </c>
      <c r="E617" s="213">
        <v>35836</v>
      </c>
      <c r="F617" s="213">
        <v>35818</v>
      </c>
      <c r="G617">
        <v>1</v>
      </c>
      <c r="H617">
        <v>154.72</v>
      </c>
      <c r="I617" t="s">
        <v>1366</v>
      </c>
      <c r="J617" t="s">
        <v>1367</v>
      </c>
    </row>
    <row r="618" spans="1:14">
      <c r="A618" t="s">
        <v>1368</v>
      </c>
      <c r="B618" t="s">
        <v>1369</v>
      </c>
      <c r="C618" t="s">
        <v>1370</v>
      </c>
      <c r="D618" t="s">
        <v>1371</v>
      </c>
      <c r="E618" t="s">
        <v>1321</v>
      </c>
    </row>
    <row r="619" spans="1:14">
      <c r="A619">
        <v>10830</v>
      </c>
      <c r="B619" t="s">
        <v>1326</v>
      </c>
      <c r="C619">
        <v>4</v>
      </c>
      <c r="D619" s="213">
        <v>35808</v>
      </c>
      <c r="E619" s="213">
        <v>35850</v>
      </c>
      <c r="F619" s="213">
        <v>35816</v>
      </c>
      <c r="G619">
        <v>2</v>
      </c>
      <c r="H619">
        <v>81.83</v>
      </c>
      <c r="I619" t="s">
        <v>1327</v>
      </c>
      <c r="J619" t="s">
        <v>1328</v>
      </c>
      <c r="K619" t="s">
        <v>983</v>
      </c>
      <c r="L619" t="s">
        <v>38</v>
      </c>
      <c r="M619" t="s">
        <v>1329</v>
      </c>
      <c r="N619" t="s">
        <v>831</v>
      </c>
    </row>
    <row r="620" spans="1:14">
      <c r="A620">
        <v>10831</v>
      </c>
      <c r="B620" t="s">
        <v>1468</v>
      </c>
      <c r="C620">
        <v>3</v>
      </c>
      <c r="D620" s="213">
        <v>35809</v>
      </c>
      <c r="E620" s="213">
        <v>35837</v>
      </c>
      <c r="F620" s="213">
        <v>35818</v>
      </c>
      <c r="G620">
        <v>2</v>
      </c>
      <c r="H620">
        <v>72.19</v>
      </c>
      <c r="I620" t="s">
        <v>1469</v>
      </c>
      <c r="J620" t="s">
        <v>1470</v>
      </c>
      <c r="K620" t="s">
        <v>1471</v>
      </c>
      <c r="M620">
        <v>4110</v>
      </c>
      <c r="N620" t="s">
        <v>1472</v>
      </c>
    </row>
    <row r="621" spans="1:14">
      <c r="A621">
        <v>10832</v>
      </c>
      <c r="B621" t="s">
        <v>1415</v>
      </c>
      <c r="C621">
        <v>2</v>
      </c>
      <c r="D621" s="213">
        <v>35809</v>
      </c>
      <c r="E621" s="213">
        <v>35837</v>
      </c>
      <c r="F621" s="213">
        <v>35814</v>
      </c>
      <c r="G621">
        <v>2</v>
      </c>
      <c r="H621">
        <v>43.26</v>
      </c>
      <c r="I621" t="s">
        <v>1416</v>
      </c>
      <c r="J621" t="s">
        <v>1417</v>
      </c>
      <c r="K621" t="s">
        <v>1418</v>
      </c>
      <c r="M621">
        <v>31000</v>
      </c>
      <c r="N621" t="s">
        <v>824</v>
      </c>
    </row>
    <row r="622" spans="1:14">
      <c r="A622">
        <v>10833</v>
      </c>
      <c r="B622" t="s">
        <v>1228</v>
      </c>
      <c r="C622">
        <v>6</v>
      </c>
      <c r="D622" s="213">
        <v>35810</v>
      </c>
      <c r="E622" s="213">
        <v>35838</v>
      </c>
      <c r="F622" s="213">
        <v>35818</v>
      </c>
      <c r="G622">
        <v>2</v>
      </c>
      <c r="H622">
        <v>71.489999999999995</v>
      </c>
      <c r="I622" t="s">
        <v>1229</v>
      </c>
      <c r="J622" t="s">
        <v>1230</v>
      </c>
      <c r="K622" t="s">
        <v>1231</v>
      </c>
      <c r="M622">
        <v>50739</v>
      </c>
      <c r="N622" t="s">
        <v>1184</v>
      </c>
    </row>
    <row r="623" spans="1:14">
      <c r="A623">
        <v>10834</v>
      </c>
      <c r="B623" t="s">
        <v>1326</v>
      </c>
      <c r="C623">
        <v>1</v>
      </c>
      <c r="D623" s="213">
        <v>35810</v>
      </c>
      <c r="E623" s="213">
        <v>35838</v>
      </c>
      <c r="F623" s="213">
        <v>35814</v>
      </c>
      <c r="G623">
        <v>3</v>
      </c>
      <c r="H623">
        <v>29.78</v>
      </c>
      <c r="I623" t="s">
        <v>1327</v>
      </c>
      <c r="J623" t="s">
        <v>1328</v>
      </c>
      <c r="K623" t="s">
        <v>983</v>
      </c>
      <c r="L623" t="s">
        <v>38</v>
      </c>
      <c r="M623" t="s">
        <v>1329</v>
      </c>
      <c r="N623" t="s">
        <v>831</v>
      </c>
    </row>
    <row r="624" spans="1:14">
      <c r="A624">
        <v>10835</v>
      </c>
      <c r="B624" t="s">
        <v>1559</v>
      </c>
      <c r="C624">
        <v>1</v>
      </c>
      <c r="D624" s="213">
        <v>35810</v>
      </c>
      <c r="E624" s="213">
        <v>35838</v>
      </c>
      <c r="F624" s="213">
        <v>35816</v>
      </c>
      <c r="G624">
        <v>3</v>
      </c>
      <c r="H624">
        <v>69.53</v>
      </c>
      <c r="I624" t="s">
        <v>1560</v>
      </c>
      <c r="J624" t="s">
        <v>1561</v>
      </c>
      <c r="K624" t="s">
        <v>1562</v>
      </c>
      <c r="M624">
        <v>12209</v>
      </c>
      <c r="N624" t="s">
        <v>1184</v>
      </c>
    </row>
    <row r="625" spans="1:14">
      <c r="A625">
        <v>10836</v>
      </c>
      <c r="B625" t="s">
        <v>1218</v>
      </c>
      <c r="C625">
        <v>7</v>
      </c>
      <c r="D625" s="213">
        <v>35811</v>
      </c>
      <c r="E625" s="213">
        <v>35839</v>
      </c>
      <c r="F625" s="213">
        <v>35816</v>
      </c>
      <c r="G625">
        <v>1</v>
      </c>
      <c r="H625">
        <v>411.88</v>
      </c>
      <c r="I625" t="s">
        <v>1219</v>
      </c>
      <c r="J625" t="s">
        <v>1220</v>
      </c>
      <c r="K625" t="s">
        <v>1221</v>
      </c>
      <c r="M625">
        <v>8010</v>
      </c>
      <c r="N625" t="s">
        <v>1222</v>
      </c>
    </row>
    <row r="626" spans="1:14">
      <c r="A626">
        <v>10837</v>
      </c>
      <c r="B626" t="s">
        <v>1289</v>
      </c>
      <c r="C626">
        <v>9</v>
      </c>
      <c r="D626" s="213">
        <v>35811</v>
      </c>
      <c r="E626" s="213">
        <v>35839</v>
      </c>
      <c r="F626" s="213">
        <v>35818</v>
      </c>
      <c r="G626">
        <v>3</v>
      </c>
      <c r="H626">
        <v>13.32</v>
      </c>
      <c r="I626" t="s">
        <v>1290</v>
      </c>
      <c r="J626" t="s">
        <v>1291</v>
      </c>
      <c r="K626" t="s">
        <v>1292</v>
      </c>
      <c r="M626" t="s">
        <v>1293</v>
      </c>
      <c r="N626" t="s">
        <v>829</v>
      </c>
    </row>
    <row r="627" spans="1:14">
      <c r="A627">
        <v>10838</v>
      </c>
      <c r="B627" t="s">
        <v>1479</v>
      </c>
      <c r="C627">
        <v>3</v>
      </c>
      <c r="D627" s="213">
        <v>35814</v>
      </c>
      <c r="E627" s="213">
        <v>35842</v>
      </c>
      <c r="F627" s="213">
        <v>35818</v>
      </c>
      <c r="G627">
        <v>3</v>
      </c>
      <c r="H627">
        <v>59.28</v>
      </c>
      <c r="I627" t="s">
        <v>1480</v>
      </c>
      <c r="J627" t="s">
        <v>1481</v>
      </c>
      <c r="K627" t="s">
        <v>1482</v>
      </c>
      <c r="L627" t="s">
        <v>1483</v>
      </c>
      <c r="M627">
        <v>4980</v>
      </c>
      <c r="N627" t="s">
        <v>1217</v>
      </c>
    </row>
    <row r="628" spans="1:14">
      <c r="A628">
        <v>10839</v>
      </c>
      <c r="B628" t="s">
        <v>1326</v>
      </c>
      <c r="C628">
        <v>3</v>
      </c>
      <c r="D628" s="213">
        <v>35814</v>
      </c>
      <c r="E628" s="213">
        <v>35842</v>
      </c>
      <c r="F628" s="213">
        <v>35817</v>
      </c>
      <c r="G628">
        <v>3</v>
      </c>
      <c r="H628">
        <v>35.43</v>
      </c>
      <c r="I628" t="s">
        <v>1327</v>
      </c>
      <c r="J628" t="s">
        <v>1328</v>
      </c>
      <c r="K628" t="s">
        <v>983</v>
      </c>
      <c r="L628" t="s">
        <v>38</v>
      </c>
      <c r="M628" t="s">
        <v>1329</v>
      </c>
      <c r="N628" t="s">
        <v>831</v>
      </c>
    </row>
    <row r="629" spans="1:14">
      <c r="A629">
        <v>10840</v>
      </c>
      <c r="B629" t="s">
        <v>1479</v>
      </c>
      <c r="C629">
        <v>4</v>
      </c>
      <c r="D629" s="213">
        <v>35814</v>
      </c>
      <c r="E629" s="213">
        <v>35856</v>
      </c>
      <c r="F629" s="213">
        <v>35842</v>
      </c>
      <c r="G629">
        <v>2</v>
      </c>
      <c r="H629">
        <v>2.71</v>
      </c>
      <c r="I629" t="s">
        <v>1480</v>
      </c>
      <c r="J629" t="s">
        <v>1481</v>
      </c>
      <c r="K629" t="s">
        <v>1482</v>
      </c>
      <c r="L629" t="s">
        <v>1483</v>
      </c>
      <c r="M629">
        <v>4980</v>
      </c>
      <c r="N629" t="s">
        <v>1217</v>
      </c>
    </row>
    <row r="630" spans="1:14">
      <c r="A630">
        <v>10841</v>
      </c>
      <c r="B630" t="s">
        <v>1193</v>
      </c>
      <c r="C630">
        <v>5</v>
      </c>
      <c r="D630" s="213">
        <v>35815</v>
      </c>
      <c r="E630" s="213">
        <v>35843</v>
      </c>
      <c r="F630" s="213">
        <v>35824</v>
      </c>
      <c r="G630">
        <v>2</v>
      </c>
      <c r="H630">
        <v>424.3</v>
      </c>
      <c r="I630" t="s">
        <v>1194</v>
      </c>
      <c r="J630" t="s">
        <v>1195</v>
      </c>
      <c r="K630" t="s">
        <v>1196</v>
      </c>
      <c r="M630" t="s">
        <v>1197</v>
      </c>
      <c r="N630" t="s">
        <v>833</v>
      </c>
    </row>
    <row r="631" spans="1:14">
      <c r="A631">
        <v>10842</v>
      </c>
      <c r="B631" t="s">
        <v>1282</v>
      </c>
      <c r="C631">
        <v>1</v>
      </c>
      <c r="D631" s="213">
        <v>35815</v>
      </c>
      <c r="E631" s="213">
        <v>35843</v>
      </c>
      <c r="F631" s="213">
        <v>35824</v>
      </c>
      <c r="G631">
        <v>3</v>
      </c>
      <c r="H631">
        <v>54.42</v>
      </c>
      <c r="I631" t="s">
        <v>1283</v>
      </c>
      <c r="J631" t="s">
        <v>1284</v>
      </c>
      <c r="K631" t="s">
        <v>1226</v>
      </c>
      <c r="M631">
        <v>5033</v>
      </c>
      <c r="N631" t="s">
        <v>1227</v>
      </c>
    </row>
    <row r="632" spans="1:14">
      <c r="A632">
        <v>10843</v>
      </c>
      <c r="B632" t="s">
        <v>1189</v>
      </c>
      <c r="C632">
        <v>4</v>
      </c>
      <c r="D632" s="213">
        <v>35816</v>
      </c>
      <c r="E632" s="213">
        <v>35844</v>
      </c>
      <c r="F632" s="213">
        <v>35821</v>
      </c>
      <c r="G632">
        <v>2</v>
      </c>
      <c r="H632">
        <v>9.26</v>
      </c>
      <c r="I632" t="s">
        <v>1190</v>
      </c>
      <c r="J632" t="s">
        <v>1191</v>
      </c>
      <c r="K632" t="s">
        <v>1192</v>
      </c>
      <c r="M632">
        <v>69004</v>
      </c>
      <c r="N632" t="s">
        <v>824</v>
      </c>
    </row>
    <row r="633" spans="1:14">
      <c r="A633">
        <v>10844</v>
      </c>
      <c r="B633" t="s">
        <v>1419</v>
      </c>
      <c r="C633">
        <v>8</v>
      </c>
      <c r="D633" s="213">
        <v>35816</v>
      </c>
      <c r="E633" s="213">
        <v>35844</v>
      </c>
      <c r="F633" s="213">
        <v>35821</v>
      </c>
      <c r="G633">
        <v>2</v>
      </c>
      <c r="H633">
        <v>25.22</v>
      </c>
      <c r="I633" t="s">
        <v>1420</v>
      </c>
      <c r="J633" t="s">
        <v>1421</v>
      </c>
      <c r="K633" t="s">
        <v>1422</v>
      </c>
      <c r="M633">
        <v>5020</v>
      </c>
      <c r="N633" t="s">
        <v>1222</v>
      </c>
    </row>
    <row r="634" spans="1:14">
      <c r="A634">
        <v>10845</v>
      </c>
      <c r="B634" t="s">
        <v>1274</v>
      </c>
      <c r="C634">
        <v>8</v>
      </c>
      <c r="D634" s="213">
        <v>35816</v>
      </c>
      <c r="E634" s="213">
        <v>35830</v>
      </c>
      <c r="F634" s="213">
        <v>35825</v>
      </c>
      <c r="G634">
        <v>1</v>
      </c>
      <c r="H634">
        <v>212.98</v>
      </c>
      <c r="I634" t="s">
        <v>1275</v>
      </c>
      <c r="J634" t="s">
        <v>1276</v>
      </c>
      <c r="K634" t="s">
        <v>1277</v>
      </c>
      <c r="M634">
        <v>1307</v>
      </c>
      <c r="N634" t="s">
        <v>1184</v>
      </c>
    </row>
    <row r="635" spans="1:14">
      <c r="A635">
        <v>10846</v>
      </c>
      <c r="B635" t="s">
        <v>1193</v>
      </c>
      <c r="C635">
        <v>2</v>
      </c>
      <c r="D635" s="213">
        <v>35817</v>
      </c>
      <c r="E635" s="213">
        <v>35859</v>
      </c>
      <c r="F635" s="213">
        <v>35818</v>
      </c>
      <c r="G635">
        <v>3</v>
      </c>
      <c r="H635">
        <v>56.46</v>
      </c>
      <c r="I635" t="s">
        <v>1194</v>
      </c>
      <c r="J635" t="s">
        <v>1195</v>
      </c>
      <c r="K635" t="s">
        <v>1196</v>
      </c>
      <c r="M635" t="s">
        <v>1197</v>
      </c>
      <c r="N635" t="s">
        <v>833</v>
      </c>
    </row>
    <row r="636" spans="1:14">
      <c r="A636">
        <v>10847</v>
      </c>
      <c r="B636" t="s">
        <v>1379</v>
      </c>
      <c r="C636">
        <v>4</v>
      </c>
      <c r="D636" s="213">
        <v>35817</v>
      </c>
      <c r="E636" s="213">
        <v>35831</v>
      </c>
      <c r="F636" s="213">
        <v>35836</v>
      </c>
      <c r="G636">
        <v>3</v>
      </c>
      <c r="H636">
        <v>487.57</v>
      </c>
      <c r="I636" t="s">
        <v>1380</v>
      </c>
      <c r="J636" t="s">
        <v>1381</v>
      </c>
      <c r="K636" t="s">
        <v>1382</v>
      </c>
      <c r="L636" t="s">
        <v>1383</v>
      </c>
      <c r="M636">
        <v>83720</v>
      </c>
      <c r="N636" t="s">
        <v>1241</v>
      </c>
    </row>
    <row r="637" spans="1:14">
      <c r="A637">
        <v>10848</v>
      </c>
      <c r="B637" t="s">
        <v>1502</v>
      </c>
      <c r="C637">
        <v>7</v>
      </c>
      <c r="D637" s="213">
        <v>35818</v>
      </c>
      <c r="E637" s="213">
        <v>35846</v>
      </c>
      <c r="F637" s="213">
        <v>35824</v>
      </c>
      <c r="G637">
        <v>2</v>
      </c>
      <c r="H637">
        <v>38.24</v>
      </c>
      <c r="I637" t="s">
        <v>1503</v>
      </c>
      <c r="J637" t="s">
        <v>1504</v>
      </c>
    </row>
    <row r="638" spans="1:14">
      <c r="A638" t="s">
        <v>1505</v>
      </c>
      <c r="B638" t="s">
        <v>1319</v>
      </c>
      <c r="D638" t="s">
        <v>1506</v>
      </c>
      <c r="E638" t="s">
        <v>1321</v>
      </c>
    </row>
    <row r="639" spans="1:14">
      <c r="A639">
        <v>10849</v>
      </c>
      <c r="B639" t="s">
        <v>1375</v>
      </c>
      <c r="C639">
        <v>9</v>
      </c>
      <c r="D639" s="213">
        <v>35818</v>
      </c>
      <c r="E639" s="213">
        <v>35846</v>
      </c>
      <c r="F639" s="213">
        <v>35825</v>
      </c>
      <c r="G639">
        <v>2</v>
      </c>
      <c r="H639">
        <v>0.56000000000000005</v>
      </c>
      <c r="I639" t="s">
        <v>1376</v>
      </c>
      <c r="J639" t="s">
        <v>1377</v>
      </c>
      <c r="K639" t="s">
        <v>1378</v>
      </c>
      <c r="M639">
        <v>14776</v>
      </c>
      <c r="N639" t="s">
        <v>1184</v>
      </c>
    </row>
    <row r="640" spans="1:14">
      <c r="A640">
        <v>10850</v>
      </c>
      <c r="B640" t="s">
        <v>1189</v>
      </c>
      <c r="C640">
        <v>1</v>
      </c>
      <c r="D640" s="213">
        <v>35818</v>
      </c>
      <c r="E640" s="213">
        <v>35860</v>
      </c>
      <c r="F640" s="213">
        <v>35825</v>
      </c>
      <c r="G640">
        <v>1</v>
      </c>
      <c r="H640">
        <v>49.19</v>
      </c>
      <c r="I640" t="s">
        <v>1190</v>
      </c>
      <c r="J640" t="s">
        <v>1191</v>
      </c>
      <c r="K640" t="s">
        <v>1192</v>
      </c>
      <c r="M640">
        <v>69004</v>
      </c>
      <c r="N640" t="s">
        <v>824</v>
      </c>
    </row>
    <row r="641" spans="1:14">
      <c r="A641">
        <v>10851</v>
      </c>
      <c r="B641" t="s">
        <v>1308</v>
      </c>
      <c r="C641">
        <v>5</v>
      </c>
      <c r="D641" s="213">
        <v>35821</v>
      </c>
      <c r="E641" s="213">
        <v>35849</v>
      </c>
      <c r="F641" s="213">
        <v>35828</v>
      </c>
      <c r="G641">
        <v>1</v>
      </c>
      <c r="H641">
        <v>160.55000000000001</v>
      </c>
      <c r="I641" t="s">
        <v>1309</v>
      </c>
      <c r="J641" t="s">
        <v>1310</v>
      </c>
      <c r="K641" t="s">
        <v>1158</v>
      </c>
      <c r="L641" t="s">
        <v>57</v>
      </c>
      <c r="M641" t="s">
        <v>1311</v>
      </c>
      <c r="N641" t="s">
        <v>831</v>
      </c>
    </row>
    <row r="642" spans="1:14">
      <c r="A642">
        <v>10852</v>
      </c>
      <c r="B642" t="s">
        <v>1236</v>
      </c>
      <c r="C642">
        <v>8</v>
      </c>
      <c r="D642" s="213">
        <v>35821</v>
      </c>
      <c r="E642" s="213">
        <v>35835</v>
      </c>
      <c r="F642" s="213">
        <v>35825</v>
      </c>
      <c r="G642">
        <v>1</v>
      </c>
      <c r="H642">
        <v>174.05</v>
      </c>
      <c r="I642" t="s">
        <v>1237</v>
      </c>
      <c r="J642" t="s">
        <v>1238</v>
      </c>
      <c r="K642" t="s">
        <v>1239</v>
      </c>
      <c r="L642" t="s">
        <v>1240</v>
      </c>
      <c r="M642">
        <v>87110</v>
      </c>
      <c r="N642" t="s">
        <v>1241</v>
      </c>
    </row>
    <row r="643" spans="1:14">
      <c r="A643">
        <v>10853</v>
      </c>
      <c r="B643" t="s">
        <v>1519</v>
      </c>
      <c r="C643">
        <v>9</v>
      </c>
      <c r="D643" s="213">
        <v>35822</v>
      </c>
      <c r="E643" s="213">
        <v>35850</v>
      </c>
      <c r="F643" s="213">
        <v>35829</v>
      </c>
      <c r="G643">
        <v>2</v>
      </c>
      <c r="H643">
        <v>53.83</v>
      </c>
      <c r="I643" t="s">
        <v>1520</v>
      </c>
      <c r="J643" t="s">
        <v>1521</v>
      </c>
      <c r="K643" t="s">
        <v>1522</v>
      </c>
      <c r="M643">
        <v>68306</v>
      </c>
      <c r="N643" t="s">
        <v>1184</v>
      </c>
    </row>
    <row r="644" spans="1:14">
      <c r="A644">
        <v>10854</v>
      </c>
      <c r="B644" t="s">
        <v>1218</v>
      </c>
      <c r="C644">
        <v>3</v>
      </c>
      <c r="D644" s="213">
        <v>35822</v>
      </c>
      <c r="E644" s="213">
        <v>35850</v>
      </c>
      <c r="F644" s="213">
        <v>35831</v>
      </c>
      <c r="G644">
        <v>2</v>
      </c>
      <c r="H644">
        <v>100.22</v>
      </c>
      <c r="I644" t="s">
        <v>1219</v>
      </c>
      <c r="J644" t="s">
        <v>1220</v>
      </c>
      <c r="K644" t="s">
        <v>1221</v>
      </c>
      <c r="M644">
        <v>8010</v>
      </c>
      <c r="N644" t="s">
        <v>1222</v>
      </c>
    </row>
    <row r="645" spans="1:14">
      <c r="A645">
        <v>10855</v>
      </c>
      <c r="B645" t="s">
        <v>1344</v>
      </c>
      <c r="C645">
        <v>3</v>
      </c>
      <c r="D645" s="213">
        <v>35822</v>
      </c>
      <c r="E645" s="213">
        <v>35850</v>
      </c>
      <c r="F645" s="213">
        <v>35830</v>
      </c>
      <c r="G645">
        <v>1</v>
      </c>
      <c r="H645">
        <v>170.97</v>
      </c>
      <c r="I645" t="s">
        <v>1345</v>
      </c>
      <c r="J645" t="s">
        <v>1346</v>
      </c>
      <c r="K645" t="s">
        <v>1347</v>
      </c>
      <c r="L645" t="s">
        <v>1348</v>
      </c>
      <c r="M645">
        <v>99508</v>
      </c>
      <c r="N645" t="s">
        <v>1241</v>
      </c>
    </row>
    <row r="646" spans="1:14">
      <c r="A646">
        <v>10856</v>
      </c>
      <c r="B646" t="s">
        <v>1442</v>
      </c>
      <c r="C646">
        <v>3</v>
      </c>
      <c r="D646" s="213">
        <v>35823</v>
      </c>
      <c r="E646" s="213">
        <v>35851</v>
      </c>
      <c r="F646" s="213">
        <v>35836</v>
      </c>
      <c r="G646">
        <v>2</v>
      </c>
      <c r="H646">
        <v>58.43</v>
      </c>
      <c r="I646" t="s">
        <v>1443</v>
      </c>
      <c r="J646" t="s">
        <v>1444</v>
      </c>
      <c r="K646" t="s">
        <v>1226</v>
      </c>
      <c r="M646">
        <v>5023</v>
      </c>
      <c r="N646" t="s">
        <v>1227</v>
      </c>
    </row>
    <row r="647" spans="1:14">
      <c r="A647">
        <v>10857</v>
      </c>
      <c r="B647" t="s">
        <v>1289</v>
      </c>
      <c r="C647">
        <v>8</v>
      </c>
      <c r="D647" s="213">
        <v>35823</v>
      </c>
      <c r="E647" s="213">
        <v>35851</v>
      </c>
      <c r="F647" s="213">
        <v>35832</v>
      </c>
      <c r="G647">
        <v>2</v>
      </c>
      <c r="H647">
        <v>188.85</v>
      </c>
      <c r="I647" t="s">
        <v>1290</v>
      </c>
      <c r="J647" t="s">
        <v>1291</v>
      </c>
      <c r="K647" t="s">
        <v>1292</v>
      </c>
      <c r="M647" t="s">
        <v>1293</v>
      </c>
      <c r="N647" t="s">
        <v>829</v>
      </c>
    </row>
    <row r="648" spans="1:14">
      <c r="A648">
        <v>10858</v>
      </c>
      <c r="B648" t="s">
        <v>1570</v>
      </c>
      <c r="C648">
        <v>2</v>
      </c>
      <c r="D648" s="213">
        <v>35824</v>
      </c>
      <c r="E648" s="213">
        <v>35852</v>
      </c>
      <c r="F648" s="213">
        <v>35829</v>
      </c>
      <c r="G648">
        <v>1</v>
      </c>
      <c r="H648">
        <v>52.51</v>
      </c>
      <c r="I648" t="s">
        <v>1571</v>
      </c>
      <c r="J648" t="s">
        <v>1572</v>
      </c>
      <c r="K648" t="s">
        <v>1573</v>
      </c>
      <c r="M648">
        <v>78000</v>
      </c>
      <c r="N648" t="s">
        <v>824</v>
      </c>
    </row>
    <row r="649" spans="1:14">
      <c r="A649">
        <v>10859</v>
      </c>
      <c r="B649" t="s">
        <v>1256</v>
      </c>
      <c r="C649">
        <v>1</v>
      </c>
      <c r="D649" s="213">
        <v>35824</v>
      </c>
      <c r="E649" s="213">
        <v>35852</v>
      </c>
      <c r="F649" s="213">
        <v>35828</v>
      </c>
      <c r="G649">
        <v>2</v>
      </c>
      <c r="H649">
        <v>76.099999999999994</v>
      </c>
      <c r="I649" t="s">
        <v>1257</v>
      </c>
      <c r="J649" t="s">
        <v>1258</v>
      </c>
      <c r="K649" t="s">
        <v>1259</v>
      </c>
      <c r="M649">
        <v>80805</v>
      </c>
      <c r="N649" t="s">
        <v>1184</v>
      </c>
    </row>
    <row r="650" spans="1:14">
      <c r="A650">
        <v>10860</v>
      </c>
      <c r="B650" t="s">
        <v>1563</v>
      </c>
      <c r="C650">
        <v>3</v>
      </c>
      <c r="D650" s="213">
        <v>35824</v>
      </c>
      <c r="E650" s="213">
        <v>35852</v>
      </c>
      <c r="F650" s="213">
        <v>35830</v>
      </c>
      <c r="G650">
        <v>3</v>
      </c>
      <c r="H650">
        <v>19.260000000000002</v>
      </c>
      <c r="I650" t="s">
        <v>1564</v>
      </c>
      <c r="J650" t="s">
        <v>1565</v>
      </c>
      <c r="K650" t="s">
        <v>1364</v>
      </c>
      <c r="M650">
        <v>44000</v>
      </c>
      <c r="N650" t="s">
        <v>824</v>
      </c>
    </row>
    <row r="651" spans="1:14">
      <c r="A651">
        <v>10861</v>
      </c>
      <c r="B651" t="s">
        <v>1264</v>
      </c>
      <c r="C651">
        <v>4</v>
      </c>
      <c r="D651" s="213">
        <v>35825</v>
      </c>
      <c r="E651" s="213">
        <v>35853</v>
      </c>
      <c r="F651" s="213">
        <v>35843</v>
      </c>
      <c r="G651">
        <v>2</v>
      </c>
      <c r="H651">
        <v>14.93</v>
      </c>
      <c r="I651" t="s">
        <v>1265</v>
      </c>
      <c r="J651" t="s">
        <v>1266</v>
      </c>
      <c r="K651" t="s">
        <v>1267</v>
      </c>
      <c r="L651" t="s">
        <v>1268</v>
      </c>
      <c r="M651">
        <v>98124</v>
      </c>
      <c r="N651" t="s">
        <v>1241</v>
      </c>
    </row>
    <row r="652" spans="1:14">
      <c r="A652">
        <v>10862</v>
      </c>
      <c r="B652" t="s">
        <v>1294</v>
      </c>
      <c r="C652">
        <v>8</v>
      </c>
      <c r="D652" s="213">
        <v>35825</v>
      </c>
      <c r="E652" s="213">
        <v>35867</v>
      </c>
      <c r="F652" s="213">
        <v>35828</v>
      </c>
      <c r="G652">
        <v>2</v>
      </c>
      <c r="H652">
        <v>53.23</v>
      </c>
      <c r="I652" t="s">
        <v>1295</v>
      </c>
      <c r="J652" t="s">
        <v>1296</v>
      </c>
      <c r="K652" t="s">
        <v>1297</v>
      </c>
      <c r="M652">
        <v>60528</v>
      </c>
      <c r="N652" t="s">
        <v>1184</v>
      </c>
    </row>
    <row r="653" spans="1:14">
      <c r="A653">
        <v>10863</v>
      </c>
      <c r="B653" t="s">
        <v>1212</v>
      </c>
      <c r="C653">
        <v>4</v>
      </c>
      <c r="D653" s="213">
        <v>35828</v>
      </c>
      <c r="E653" s="213">
        <v>35856</v>
      </c>
      <c r="F653" s="213">
        <v>35843</v>
      </c>
      <c r="G653">
        <v>2</v>
      </c>
      <c r="H653">
        <v>30.26</v>
      </c>
      <c r="I653" t="s">
        <v>1213</v>
      </c>
      <c r="J653" t="s">
        <v>1214</v>
      </c>
      <c r="K653" t="s">
        <v>1215</v>
      </c>
      <c r="L653" t="s">
        <v>1216</v>
      </c>
      <c r="M653">
        <v>5022</v>
      </c>
      <c r="N653" t="s">
        <v>1217</v>
      </c>
    </row>
    <row r="654" spans="1:14">
      <c r="A654">
        <v>10864</v>
      </c>
      <c r="B654" t="s">
        <v>1423</v>
      </c>
      <c r="C654">
        <v>4</v>
      </c>
      <c r="D654" s="213">
        <v>35828</v>
      </c>
      <c r="E654" s="213">
        <v>35856</v>
      </c>
      <c r="F654" s="213">
        <v>35835</v>
      </c>
      <c r="G654">
        <v>2</v>
      </c>
      <c r="H654">
        <v>3.04</v>
      </c>
      <c r="I654" t="s">
        <v>1424</v>
      </c>
      <c r="J654" t="s">
        <v>1425</v>
      </c>
    </row>
    <row r="655" spans="1:14">
      <c r="A655" t="s">
        <v>1426</v>
      </c>
      <c r="B655" t="s">
        <v>1427</v>
      </c>
      <c r="C655" t="s">
        <v>1428</v>
      </c>
      <c r="D655" t="s">
        <v>1429</v>
      </c>
      <c r="E655" t="s">
        <v>1321</v>
      </c>
    </row>
    <row r="656" spans="1:14">
      <c r="A656">
        <v>10865</v>
      </c>
      <c r="B656" t="s">
        <v>1274</v>
      </c>
      <c r="C656">
        <v>2</v>
      </c>
      <c r="D656" s="213">
        <v>35828</v>
      </c>
      <c r="E656" s="213">
        <v>35842</v>
      </c>
      <c r="F656" s="213">
        <v>35838</v>
      </c>
      <c r="G656">
        <v>1</v>
      </c>
      <c r="H656">
        <v>348.14</v>
      </c>
      <c r="I656" t="s">
        <v>1275</v>
      </c>
      <c r="J656" t="s">
        <v>1276</v>
      </c>
      <c r="K656" t="s">
        <v>1277</v>
      </c>
      <c r="M656">
        <v>1307</v>
      </c>
      <c r="N656" t="s">
        <v>1184</v>
      </c>
    </row>
    <row r="657" spans="1:14">
      <c r="A657">
        <v>10866</v>
      </c>
      <c r="B657" t="s">
        <v>1289</v>
      </c>
      <c r="C657">
        <v>5</v>
      </c>
      <c r="D657" s="213">
        <v>35829</v>
      </c>
      <c r="E657" s="213">
        <v>35857</v>
      </c>
      <c r="F657" s="213">
        <v>35838</v>
      </c>
      <c r="G657">
        <v>1</v>
      </c>
      <c r="H657">
        <v>109.11</v>
      </c>
      <c r="I657" t="s">
        <v>1290</v>
      </c>
      <c r="J657" t="s">
        <v>1291</v>
      </c>
      <c r="K657" t="s">
        <v>1292</v>
      </c>
      <c r="M657" t="s">
        <v>1293</v>
      </c>
      <c r="N657" t="s">
        <v>829</v>
      </c>
    </row>
    <row r="658" spans="1:14">
      <c r="A658">
        <v>10867</v>
      </c>
      <c r="B658" t="s">
        <v>1349</v>
      </c>
      <c r="C658">
        <v>6</v>
      </c>
      <c r="D658" s="213">
        <v>35829</v>
      </c>
      <c r="E658" s="213">
        <v>35871</v>
      </c>
      <c r="F658" s="213">
        <v>35837</v>
      </c>
      <c r="G658">
        <v>1</v>
      </c>
      <c r="H658">
        <v>1.93</v>
      </c>
      <c r="I658" t="s">
        <v>1350</v>
      </c>
      <c r="J658" t="s">
        <v>1351</v>
      </c>
      <c r="K658" t="s">
        <v>1352</v>
      </c>
      <c r="L658" t="s">
        <v>1353</v>
      </c>
      <c r="M658">
        <v>97219</v>
      </c>
      <c r="N658" t="s">
        <v>1241</v>
      </c>
    </row>
    <row r="659" spans="1:14">
      <c r="A659">
        <v>10868</v>
      </c>
      <c r="B659" t="s">
        <v>1453</v>
      </c>
      <c r="C659">
        <v>7</v>
      </c>
      <c r="D659" s="213">
        <v>35830</v>
      </c>
      <c r="E659" s="213">
        <v>35858</v>
      </c>
      <c r="F659" s="213">
        <v>35849</v>
      </c>
      <c r="G659">
        <v>2</v>
      </c>
      <c r="H659">
        <v>191.27</v>
      </c>
      <c r="I659" t="s">
        <v>1454</v>
      </c>
      <c r="J659" t="s">
        <v>1455</v>
      </c>
      <c r="K659" t="s">
        <v>983</v>
      </c>
      <c r="L659" t="s">
        <v>38</v>
      </c>
      <c r="M659" t="s">
        <v>1456</v>
      </c>
      <c r="N659" t="s">
        <v>831</v>
      </c>
    </row>
    <row r="660" spans="1:14">
      <c r="A660">
        <v>10869</v>
      </c>
      <c r="B660" t="s">
        <v>1430</v>
      </c>
      <c r="C660">
        <v>5</v>
      </c>
      <c r="D660" s="213">
        <v>35830</v>
      </c>
      <c r="E660" s="213">
        <v>35858</v>
      </c>
      <c r="F660" s="213">
        <v>35835</v>
      </c>
      <c r="G660">
        <v>1</v>
      </c>
      <c r="H660">
        <v>143.28</v>
      </c>
      <c r="I660" t="s">
        <v>1431</v>
      </c>
      <c r="J660" t="s">
        <v>1432</v>
      </c>
      <c r="K660" t="s">
        <v>1319</v>
      </c>
      <c r="M660" t="s">
        <v>1433</v>
      </c>
      <c r="N660" t="s">
        <v>1321</v>
      </c>
    </row>
    <row r="661" spans="1:14">
      <c r="A661">
        <v>10870</v>
      </c>
      <c r="B661" t="s">
        <v>1457</v>
      </c>
      <c r="C661">
        <v>5</v>
      </c>
      <c r="D661" s="213">
        <v>35830</v>
      </c>
      <c r="E661" s="213">
        <v>35858</v>
      </c>
      <c r="F661" s="213">
        <v>35839</v>
      </c>
      <c r="G661">
        <v>3</v>
      </c>
      <c r="H661">
        <v>12.04</v>
      </c>
      <c r="I661" t="s">
        <v>1458</v>
      </c>
      <c r="J661" t="s">
        <v>1459</v>
      </c>
      <c r="K661" t="s">
        <v>1460</v>
      </c>
      <c r="M661" t="s">
        <v>1461</v>
      </c>
      <c r="N661" t="s">
        <v>1462</v>
      </c>
    </row>
    <row r="662" spans="1:14">
      <c r="A662">
        <v>10871</v>
      </c>
      <c r="B662" t="s">
        <v>1392</v>
      </c>
      <c r="C662">
        <v>9</v>
      </c>
      <c r="D662" s="213">
        <v>35831</v>
      </c>
      <c r="E662" s="213">
        <v>35859</v>
      </c>
      <c r="F662" s="213">
        <v>35836</v>
      </c>
      <c r="G662">
        <v>2</v>
      </c>
      <c r="H662">
        <v>112.27</v>
      </c>
      <c r="I662" t="s">
        <v>1393</v>
      </c>
      <c r="J662" t="s">
        <v>1394</v>
      </c>
      <c r="K662" t="s">
        <v>1395</v>
      </c>
      <c r="M662">
        <v>13008</v>
      </c>
      <c r="N662" t="s">
        <v>824</v>
      </c>
    </row>
    <row r="663" spans="1:14">
      <c r="A663">
        <v>10872</v>
      </c>
      <c r="B663" t="s">
        <v>1340</v>
      </c>
      <c r="C663">
        <v>5</v>
      </c>
      <c r="D663" s="213">
        <v>35831</v>
      </c>
      <c r="E663" s="213">
        <v>35859</v>
      </c>
      <c r="F663" s="213">
        <v>35835</v>
      </c>
      <c r="G663">
        <v>2</v>
      </c>
      <c r="H663">
        <v>175.32</v>
      </c>
      <c r="I663" t="s">
        <v>1341</v>
      </c>
      <c r="J663" t="s">
        <v>1342</v>
      </c>
      <c r="K663" t="s">
        <v>1343</v>
      </c>
      <c r="M663">
        <v>41101</v>
      </c>
      <c r="N663" t="s">
        <v>1302</v>
      </c>
    </row>
    <row r="664" spans="1:14">
      <c r="A664">
        <v>10873</v>
      </c>
      <c r="B664" t="s">
        <v>1550</v>
      </c>
      <c r="C664">
        <v>4</v>
      </c>
      <c r="D664" s="213">
        <v>35832</v>
      </c>
      <c r="E664" s="213">
        <v>35860</v>
      </c>
      <c r="F664" s="213">
        <v>35835</v>
      </c>
      <c r="G664">
        <v>1</v>
      </c>
      <c r="H664">
        <v>0.82</v>
      </c>
      <c r="I664" t="s">
        <v>1551</v>
      </c>
      <c r="J664" t="s">
        <v>1552</v>
      </c>
      <c r="K664" t="s">
        <v>1553</v>
      </c>
      <c r="M664">
        <v>21240</v>
      </c>
      <c r="N664" t="s">
        <v>1255</v>
      </c>
    </row>
    <row r="665" spans="1:14">
      <c r="A665">
        <v>10874</v>
      </c>
      <c r="B665" t="s">
        <v>1340</v>
      </c>
      <c r="C665">
        <v>5</v>
      </c>
      <c r="D665" s="213">
        <v>35832</v>
      </c>
      <c r="E665" s="213">
        <v>35860</v>
      </c>
      <c r="F665" s="213">
        <v>35837</v>
      </c>
      <c r="G665">
        <v>2</v>
      </c>
      <c r="H665">
        <v>19.579999999999998</v>
      </c>
      <c r="I665" t="s">
        <v>1341</v>
      </c>
      <c r="J665" t="s">
        <v>1342</v>
      </c>
      <c r="K665" t="s">
        <v>1343</v>
      </c>
      <c r="M665">
        <v>41101</v>
      </c>
      <c r="N665" t="s">
        <v>1302</v>
      </c>
    </row>
    <row r="666" spans="1:14">
      <c r="A666">
        <v>10875</v>
      </c>
      <c r="B666" t="s">
        <v>1289</v>
      </c>
      <c r="C666">
        <v>4</v>
      </c>
      <c r="D666" s="213">
        <v>35832</v>
      </c>
      <c r="E666" s="213">
        <v>35860</v>
      </c>
      <c r="F666" s="213">
        <v>35857</v>
      </c>
      <c r="G666">
        <v>2</v>
      </c>
      <c r="H666">
        <v>32.369999999999997</v>
      </c>
      <c r="I666" t="s">
        <v>1290</v>
      </c>
      <c r="J666" t="s">
        <v>1291</v>
      </c>
      <c r="K666" t="s">
        <v>1292</v>
      </c>
      <c r="M666" t="s">
        <v>1293</v>
      </c>
      <c r="N666" t="s">
        <v>829</v>
      </c>
    </row>
    <row r="667" spans="1:14">
      <c r="A667">
        <v>10876</v>
      </c>
      <c r="B667" t="s">
        <v>1392</v>
      </c>
      <c r="C667">
        <v>7</v>
      </c>
      <c r="D667" s="213">
        <v>35835</v>
      </c>
      <c r="E667" s="213">
        <v>35863</v>
      </c>
      <c r="F667" s="213">
        <v>35838</v>
      </c>
      <c r="G667">
        <v>3</v>
      </c>
      <c r="H667">
        <v>60.42</v>
      </c>
      <c r="I667" t="s">
        <v>1393</v>
      </c>
      <c r="J667" t="s">
        <v>1394</v>
      </c>
      <c r="K667" t="s">
        <v>1395</v>
      </c>
      <c r="M667">
        <v>13008</v>
      </c>
      <c r="N667" t="s">
        <v>824</v>
      </c>
    </row>
    <row r="668" spans="1:14">
      <c r="A668">
        <v>10877</v>
      </c>
      <c r="B668" t="s">
        <v>1308</v>
      </c>
      <c r="C668">
        <v>1</v>
      </c>
      <c r="D668" s="213">
        <v>35835</v>
      </c>
      <c r="E668" s="213">
        <v>35863</v>
      </c>
      <c r="F668" s="213">
        <v>35845</v>
      </c>
      <c r="G668">
        <v>1</v>
      </c>
      <c r="H668">
        <v>38.06</v>
      </c>
      <c r="I668" t="s">
        <v>1309</v>
      </c>
      <c r="J668" t="s">
        <v>1310</v>
      </c>
      <c r="K668" t="s">
        <v>1158</v>
      </c>
      <c r="L668" t="s">
        <v>57</v>
      </c>
      <c r="M668" t="s">
        <v>1311</v>
      </c>
      <c r="N668" t="s">
        <v>831</v>
      </c>
    </row>
    <row r="669" spans="1:14">
      <c r="A669">
        <v>10878</v>
      </c>
      <c r="B669" t="s">
        <v>1274</v>
      </c>
      <c r="C669">
        <v>4</v>
      </c>
      <c r="D669" s="213">
        <v>35836</v>
      </c>
      <c r="E669" s="213">
        <v>35864</v>
      </c>
      <c r="F669" s="213">
        <v>35838</v>
      </c>
      <c r="G669">
        <v>1</v>
      </c>
      <c r="H669">
        <v>46.69</v>
      </c>
      <c r="I669" t="s">
        <v>1275</v>
      </c>
      <c r="J669" t="s">
        <v>1276</v>
      </c>
      <c r="K669" t="s">
        <v>1277</v>
      </c>
      <c r="M669">
        <v>1307</v>
      </c>
      <c r="N669" t="s">
        <v>1184</v>
      </c>
    </row>
    <row r="670" spans="1:14">
      <c r="A670">
        <v>10879</v>
      </c>
      <c r="B670" t="s">
        <v>1550</v>
      </c>
      <c r="C670">
        <v>3</v>
      </c>
      <c r="D670" s="213">
        <v>35836</v>
      </c>
      <c r="E670" s="213">
        <v>35864</v>
      </c>
      <c r="F670" s="213">
        <v>35838</v>
      </c>
      <c r="G670">
        <v>3</v>
      </c>
      <c r="H670">
        <v>8.5</v>
      </c>
      <c r="I670" t="s">
        <v>1551</v>
      </c>
      <c r="J670" t="s">
        <v>1552</v>
      </c>
      <c r="K670" t="s">
        <v>1553</v>
      </c>
      <c r="M670">
        <v>21240</v>
      </c>
      <c r="N670" t="s">
        <v>1255</v>
      </c>
    </row>
    <row r="671" spans="1:14">
      <c r="A671">
        <v>10880</v>
      </c>
      <c r="B671" t="s">
        <v>1242</v>
      </c>
      <c r="C671">
        <v>7</v>
      </c>
      <c r="D671" s="213">
        <v>35836</v>
      </c>
      <c r="E671" s="213">
        <v>35878</v>
      </c>
      <c r="F671" s="213">
        <v>35844</v>
      </c>
      <c r="G671">
        <v>1</v>
      </c>
      <c r="H671">
        <v>88.01</v>
      </c>
      <c r="I671" t="s">
        <v>1243</v>
      </c>
      <c r="J671" t="s">
        <v>1244</v>
      </c>
      <c r="K671" t="s">
        <v>1245</v>
      </c>
      <c r="M671" t="s">
        <v>1246</v>
      </c>
      <c r="N671" t="s">
        <v>829</v>
      </c>
    </row>
    <row r="672" spans="1:14">
      <c r="A672">
        <v>10881</v>
      </c>
      <c r="B672" t="s">
        <v>1528</v>
      </c>
      <c r="C672">
        <v>4</v>
      </c>
      <c r="D672" s="213">
        <v>35837</v>
      </c>
      <c r="E672" s="213">
        <v>35865</v>
      </c>
      <c r="F672" s="213">
        <v>35844</v>
      </c>
      <c r="G672">
        <v>1</v>
      </c>
      <c r="H672">
        <v>2.84</v>
      </c>
      <c r="I672" t="s">
        <v>1529</v>
      </c>
      <c r="J672" t="s">
        <v>1530</v>
      </c>
      <c r="K672" t="s">
        <v>1492</v>
      </c>
      <c r="M672">
        <v>1010</v>
      </c>
      <c r="N672" t="s">
        <v>1493</v>
      </c>
    </row>
    <row r="673" spans="1:14">
      <c r="A673">
        <v>10882</v>
      </c>
      <c r="B673" t="s">
        <v>1379</v>
      </c>
      <c r="C673">
        <v>4</v>
      </c>
      <c r="D673" s="213">
        <v>35837</v>
      </c>
      <c r="E673" s="213">
        <v>35865</v>
      </c>
      <c r="F673" s="213">
        <v>35846</v>
      </c>
      <c r="G673">
        <v>3</v>
      </c>
      <c r="H673">
        <v>23.1</v>
      </c>
      <c r="I673" t="s">
        <v>1380</v>
      </c>
      <c r="J673" t="s">
        <v>1381</v>
      </c>
      <c r="K673" t="s">
        <v>1382</v>
      </c>
      <c r="L673" t="s">
        <v>1383</v>
      </c>
      <c r="M673">
        <v>83720</v>
      </c>
      <c r="N673" t="s">
        <v>1241</v>
      </c>
    </row>
    <row r="674" spans="1:14">
      <c r="A674">
        <v>10883</v>
      </c>
      <c r="B674" t="s">
        <v>1349</v>
      </c>
      <c r="C674">
        <v>8</v>
      </c>
      <c r="D674" s="213">
        <v>35838</v>
      </c>
      <c r="E674" s="213">
        <v>35866</v>
      </c>
      <c r="F674" s="213">
        <v>35846</v>
      </c>
      <c r="G674">
        <v>3</v>
      </c>
      <c r="H674">
        <v>0.53</v>
      </c>
      <c r="I674" t="s">
        <v>1350</v>
      </c>
      <c r="J674" t="s">
        <v>1351</v>
      </c>
      <c r="K674" t="s">
        <v>1352</v>
      </c>
      <c r="L674" t="s">
        <v>1353</v>
      </c>
      <c r="M674">
        <v>97219</v>
      </c>
      <c r="N674" t="s">
        <v>1241</v>
      </c>
    </row>
    <row r="675" spans="1:14">
      <c r="A675">
        <v>10884</v>
      </c>
      <c r="B675" t="s">
        <v>1544</v>
      </c>
      <c r="C675">
        <v>4</v>
      </c>
      <c r="D675" s="213">
        <v>35838</v>
      </c>
      <c r="E675" s="213">
        <v>35866</v>
      </c>
      <c r="F675" s="213">
        <v>35839</v>
      </c>
      <c r="G675">
        <v>2</v>
      </c>
      <c r="H675">
        <v>90.97</v>
      </c>
      <c r="I675" t="s">
        <v>1545</v>
      </c>
      <c r="J675" t="s">
        <v>1546</v>
      </c>
    </row>
    <row r="676" spans="1:14">
      <c r="A676" t="s">
        <v>1547</v>
      </c>
      <c r="B676" t="s">
        <v>1548</v>
      </c>
      <c r="C676" t="s">
        <v>1549</v>
      </c>
      <c r="D676">
        <v>94117</v>
      </c>
      <c r="E676" t="s">
        <v>1241</v>
      </c>
    </row>
    <row r="677" spans="1:14">
      <c r="A677">
        <v>10885</v>
      </c>
      <c r="B677" t="s">
        <v>1193</v>
      </c>
      <c r="C677">
        <v>6</v>
      </c>
      <c r="D677" s="213">
        <v>35838</v>
      </c>
      <c r="E677" s="213">
        <v>35866</v>
      </c>
      <c r="F677" s="213">
        <v>35844</v>
      </c>
      <c r="G677">
        <v>3</v>
      </c>
      <c r="H677">
        <v>5.64</v>
      </c>
      <c r="I677" t="s">
        <v>1194</v>
      </c>
      <c r="J677" t="s">
        <v>1195</v>
      </c>
      <c r="K677" t="s">
        <v>1196</v>
      </c>
      <c r="M677" t="s">
        <v>1197</v>
      </c>
      <c r="N677" t="s">
        <v>833</v>
      </c>
    </row>
    <row r="678" spans="1:14">
      <c r="A678">
        <v>10886</v>
      </c>
      <c r="B678" t="s">
        <v>1185</v>
      </c>
      <c r="C678">
        <v>1</v>
      </c>
      <c r="D678" s="213">
        <v>35839</v>
      </c>
      <c r="E678" s="213">
        <v>35867</v>
      </c>
      <c r="F678" s="213">
        <v>35856</v>
      </c>
      <c r="G678">
        <v>1</v>
      </c>
      <c r="H678">
        <v>4.99</v>
      </c>
      <c r="I678" t="s">
        <v>1186</v>
      </c>
      <c r="J678" t="s">
        <v>1187</v>
      </c>
      <c r="K678" t="s">
        <v>1158</v>
      </c>
      <c r="L678" t="s">
        <v>57</v>
      </c>
      <c r="M678" t="s">
        <v>1188</v>
      </c>
      <c r="N678" t="s">
        <v>831</v>
      </c>
    </row>
    <row r="679" spans="1:14">
      <c r="A679">
        <v>10887</v>
      </c>
      <c r="B679" t="s">
        <v>1445</v>
      </c>
      <c r="C679">
        <v>8</v>
      </c>
      <c r="D679" s="213">
        <v>35839</v>
      </c>
      <c r="E679" s="213">
        <v>35867</v>
      </c>
      <c r="F679" s="213">
        <v>35842</v>
      </c>
      <c r="G679">
        <v>3</v>
      </c>
      <c r="H679">
        <v>1.25</v>
      </c>
      <c r="I679" t="s">
        <v>1446</v>
      </c>
      <c r="J679" t="s">
        <v>1447</v>
      </c>
      <c r="K679" t="s">
        <v>1448</v>
      </c>
      <c r="M679">
        <v>8022</v>
      </c>
      <c r="N679" t="s">
        <v>1302</v>
      </c>
    </row>
    <row r="680" spans="1:14">
      <c r="A680">
        <v>10888</v>
      </c>
      <c r="B680" t="s">
        <v>1340</v>
      </c>
      <c r="C680">
        <v>1</v>
      </c>
      <c r="D680" s="213">
        <v>35842</v>
      </c>
      <c r="E680" s="213">
        <v>35870</v>
      </c>
      <c r="F680" s="213">
        <v>35849</v>
      </c>
      <c r="G680">
        <v>2</v>
      </c>
      <c r="H680">
        <v>51.87</v>
      </c>
      <c r="I680" t="s">
        <v>1341</v>
      </c>
      <c r="J680" t="s">
        <v>1342</v>
      </c>
      <c r="K680" t="s">
        <v>1343</v>
      </c>
      <c r="M680">
        <v>41101</v>
      </c>
      <c r="N680" t="s">
        <v>1302</v>
      </c>
    </row>
    <row r="681" spans="1:14">
      <c r="A681">
        <v>10889</v>
      </c>
      <c r="B681" t="s">
        <v>1236</v>
      </c>
      <c r="C681">
        <v>9</v>
      </c>
      <c r="D681" s="213">
        <v>35842</v>
      </c>
      <c r="E681" s="213">
        <v>35870</v>
      </c>
      <c r="F681" s="213">
        <v>35849</v>
      </c>
      <c r="G681">
        <v>3</v>
      </c>
      <c r="H681">
        <v>280.61</v>
      </c>
      <c r="I681" t="s">
        <v>1237</v>
      </c>
      <c r="J681" t="s">
        <v>1238</v>
      </c>
      <c r="K681" t="s">
        <v>1239</v>
      </c>
      <c r="L681" t="s">
        <v>1240</v>
      </c>
      <c r="M681">
        <v>87110</v>
      </c>
      <c r="N681" t="s">
        <v>1241</v>
      </c>
    </row>
    <row r="682" spans="1:14">
      <c r="A682">
        <v>10890</v>
      </c>
      <c r="B682" t="s">
        <v>1361</v>
      </c>
      <c r="C682">
        <v>7</v>
      </c>
      <c r="D682" s="213">
        <v>35842</v>
      </c>
      <c r="E682" s="213">
        <v>35870</v>
      </c>
      <c r="F682" s="213">
        <v>35844</v>
      </c>
      <c r="G682">
        <v>1</v>
      </c>
      <c r="H682">
        <v>32.76</v>
      </c>
      <c r="I682" t="s">
        <v>1362</v>
      </c>
      <c r="J682" t="s">
        <v>1363</v>
      </c>
      <c r="K682" t="s">
        <v>1364</v>
      </c>
      <c r="M682">
        <v>44000</v>
      </c>
      <c r="N682" t="s">
        <v>824</v>
      </c>
    </row>
    <row r="683" spans="1:14">
      <c r="A683">
        <v>10891</v>
      </c>
      <c r="B683" t="s">
        <v>1294</v>
      </c>
      <c r="C683">
        <v>7</v>
      </c>
      <c r="D683" s="213">
        <v>35843</v>
      </c>
      <c r="E683" s="213">
        <v>35871</v>
      </c>
      <c r="F683" s="213">
        <v>35845</v>
      </c>
      <c r="G683">
        <v>2</v>
      </c>
      <c r="H683">
        <v>20.37</v>
      </c>
      <c r="I683" t="s">
        <v>1295</v>
      </c>
      <c r="J683" t="s">
        <v>1296</v>
      </c>
      <c r="K683" t="s">
        <v>1297</v>
      </c>
      <c r="M683">
        <v>60528</v>
      </c>
      <c r="N683" t="s">
        <v>1184</v>
      </c>
    </row>
    <row r="684" spans="1:14">
      <c r="A684">
        <v>10892</v>
      </c>
      <c r="B684" t="s">
        <v>1535</v>
      </c>
      <c r="C684">
        <v>4</v>
      </c>
      <c r="D684" s="213">
        <v>35843</v>
      </c>
      <c r="E684" s="213">
        <v>35871</v>
      </c>
      <c r="F684" s="213">
        <v>35845</v>
      </c>
      <c r="G684">
        <v>2</v>
      </c>
      <c r="H684">
        <v>120.27</v>
      </c>
      <c r="I684" t="s">
        <v>1536</v>
      </c>
      <c r="J684" t="s">
        <v>1537</v>
      </c>
      <c r="K684" t="s">
        <v>1538</v>
      </c>
      <c r="M684" t="s">
        <v>1539</v>
      </c>
      <c r="N684" t="s">
        <v>833</v>
      </c>
    </row>
    <row r="685" spans="1:14">
      <c r="A685">
        <v>10893</v>
      </c>
      <c r="B685" t="s">
        <v>1375</v>
      </c>
      <c r="C685">
        <v>9</v>
      </c>
      <c r="D685" s="213">
        <v>35844</v>
      </c>
      <c r="E685" s="213">
        <v>35872</v>
      </c>
      <c r="F685" s="213">
        <v>35846</v>
      </c>
      <c r="G685">
        <v>2</v>
      </c>
      <c r="H685">
        <v>77.78</v>
      </c>
      <c r="I685" t="s">
        <v>1376</v>
      </c>
      <c r="J685" t="s">
        <v>1377</v>
      </c>
      <c r="K685" t="s">
        <v>1378</v>
      </c>
      <c r="M685">
        <v>14776</v>
      </c>
      <c r="N685" t="s">
        <v>1184</v>
      </c>
    </row>
    <row r="686" spans="1:14">
      <c r="A686">
        <v>10894</v>
      </c>
      <c r="B686" t="s">
        <v>1379</v>
      </c>
      <c r="C686">
        <v>1</v>
      </c>
      <c r="D686" s="213">
        <v>35844</v>
      </c>
      <c r="E686" s="213">
        <v>35872</v>
      </c>
      <c r="F686" s="213">
        <v>35846</v>
      </c>
      <c r="G686">
        <v>1</v>
      </c>
      <c r="H686">
        <v>116.13</v>
      </c>
      <c r="I686" t="s">
        <v>1380</v>
      </c>
      <c r="J686" t="s">
        <v>1381</v>
      </c>
      <c r="K686" t="s">
        <v>1382</v>
      </c>
      <c r="L686" t="s">
        <v>1383</v>
      </c>
      <c r="M686">
        <v>83720</v>
      </c>
      <c r="N686" t="s">
        <v>1241</v>
      </c>
    </row>
    <row r="687" spans="1:14">
      <c r="A687">
        <v>10895</v>
      </c>
      <c r="B687" t="s">
        <v>1218</v>
      </c>
      <c r="C687">
        <v>3</v>
      </c>
      <c r="D687" s="213">
        <v>35844</v>
      </c>
      <c r="E687" s="213">
        <v>35872</v>
      </c>
      <c r="F687" s="213">
        <v>35849</v>
      </c>
      <c r="G687">
        <v>1</v>
      </c>
      <c r="H687">
        <v>162.75</v>
      </c>
      <c r="I687" t="s">
        <v>1219</v>
      </c>
      <c r="J687" t="s">
        <v>1220</v>
      </c>
      <c r="K687" t="s">
        <v>1221</v>
      </c>
      <c r="M687">
        <v>8010</v>
      </c>
      <c r="N687" t="s">
        <v>1222</v>
      </c>
    </row>
    <row r="688" spans="1:14">
      <c r="A688">
        <v>10896</v>
      </c>
      <c r="B688" t="s">
        <v>1535</v>
      </c>
      <c r="C688">
        <v>7</v>
      </c>
      <c r="D688" s="213">
        <v>35845</v>
      </c>
      <c r="E688" s="213">
        <v>35873</v>
      </c>
      <c r="F688" s="213">
        <v>35853</v>
      </c>
      <c r="G688">
        <v>3</v>
      </c>
      <c r="H688">
        <v>32.450000000000003</v>
      </c>
      <c r="I688" t="s">
        <v>1536</v>
      </c>
      <c r="J688" t="s">
        <v>1537</v>
      </c>
      <c r="K688" t="s">
        <v>1538</v>
      </c>
      <c r="M688" t="s">
        <v>1539</v>
      </c>
      <c r="N688" t="s">
        <v>833</v>
      </c>
    </row>
    <row r="689" spans="1:14">
      <c r="A689">
        <v>10897</v>
      </c>
      <c r="B689" t="s">
        <v>1330</v>
      </c>
      <c r="C689">
        <v>3</v>
      </c>
      <c r="D689" s="213">
        <v>35845</v>
      </c>
      <c r="E689" s="213">
        <v>35873</v>
      </c>
      <c r="F689" s="213">
        <v>35851</v>
      </c>
      <c r="G689">
        <v>2</v>
      </c>
      <c r="H689">
        <v>603.54</v>
      </c>
      <c r="I689" t="s">
        <v>1331</v>
      </c>
      <c r="J689" t="s">
        <v>1332</v>
      </c>
      <c r="K689" t="s">
        <v>1333</v>
      </c>
      <c r="L689" t="s">
        <v>1334</v>
      </c>
      <c r="N689" t="s">
        <v>1335</v>
      </c>
    </row>
    <row r="690" spans="1:14">
      <c r="A690">
        <v>10898</v>
      </c>
      <c r="B690" t="s">
        <v>1488</v>
      </c>
      <c r="C690">
        <v>4</v>
      </c>
      <c r="D690" s="213">
        <v>35846</v>
      </c>
      <c r="E690" s="213">
        <v>35874</v>
      </c>
      <c r="F690" s="213">
        <v>35860</v>
      </c>
      <c r="G690">
        <v>2</v>
      </c>
      <c r="H690">
        <v>1.27</v>
      </c>
      <c r="I690" t="s">
        <v>1489</v>
      </c>
      <c r="J690" t="s">
        <v>1490</v>
      </c>
    </row>
    <row r="691" spans="1:14">
      <c r="A691" t="s">
        <v>1491</v>
      </c>
      <c r="B691" t="s">
        <v>1492</v>
      </c>
      <c r="D691">
        <v>1010</v>
      </c>
      <c r="E691" t="s">
        <v>1493</v>
      </c>
    </row>
    <row r="692" spans="1:14">
      <c r="A692">
        <v>10899</v>
      </c>
      <c r="B692" t="s">
        <v>1303</v>
      </c>
      <c r="C692">
        <v>5</v>
      </c>
      <c r="D692" s="213">
        <v>35846</v>
      </c>
      <c r="E692" s="213">
        <v>35874</v>
      </c>
      <c r="F692" s="213">
        <v>35852</v>
      </c>
      <c r="G692">
        <v>3</v>
      </c>
      <c r="H692">
        <v>1.21</v>
      </c>
      <c r="I692" t="s">
        <v>1304</v>
      </c>
      <c r="J692" t="s">
        <v>1305</v>
      </c>
      <c r="K692" t="s">
        <v>1306</v>
      </c>
      <c r="L692" t="s">
        <v>1307</v>
      </c>
      <c r="M692">
        <v>3508</v>
      </c>
      <c r="N692" t="s">
        <v>1217</v>
      </c>
    </row>
    <row r="693" spans="1:14">
      <c r="A693">
        <v>10900</v>
      </c>
      <c r="B693" t="s">
        <v>1207</v>
      </c>
      <c r="C693">
        <v>1</v>
      </c>
      <c r="D693" s="213">
        <v>35846</v>
      </c>
      <c r="E693" s="213">
        <v>35874</v>
      </c>
      <c r="F693" s="213">
        <v>35858</v>
      </c>
      <c r="G693">
        <v>2</v>
      </c>
      <c r="H693">
        <v>1.66</v>
      </c>
      <c r="I693" t="s">
        <v>1208</v>
      </c>
      <c r="J693" t="s">
        <v>1209</v>
      </c>
      <c r="K693" t="s">
        <v>1210</v>
      </c>
      <c r="L693" t="s">
        <v>38</v>
      </c>
      <c r="M693" t="s">
        <v>1211</v>
      </c>
      <c r="N693" t="s">
        <v>831</v>
      </c>
    </row>
    <row r="694" spans="1:14">
      <c r="A694">
        <v>10901</v>
      </c>
      <c r="B694" t="s">
        <v>1212</v>
      </c>
      <c r="C694">
        <v>4</v>
      </c>
      <c r="D694" s="213">
        <v>35849</v>
      </c>
      <c r="E694" s="213">
        <v>35877</v>
      </c>
      <c r="F694" s="213">
        <v>35852</v>
      </c>
      <c r="G694">
        <v>1</v>
      </c>
      <c r="H694">
        <v>62.09</v>
      </c>
      <c r="I694" t="s">
        <v>1213</v>
      </c>
      <c r="J694" t="s">
        <v>1214</v>
      </c>
      <c r="K694" t="s">
        <v>1215</v>
      </c>
      <c r="L694" t="s">
        <v>1216</v>
      </c>
      <c r="M694">
        <v>5022</v>
      </c>
      <c r="N694" t="s">
        <v>1217</v>
      </c>
    </row>
    <row r="695" spans="1:14">
      <c r="A695">
        <v>10902</v>
      </c>
      <c r="B695" t="s">
        <v>1242</v>
      </c>
      <c r="C695">
        <v>1</v>
      </c>
      <c r="D695" s="213">
        <v>35849</v>
      </c>
      <c r="E695" s="213">
        <v>35877</v>
      </c>
      <c r="F695" s="213">
        <v>35857</v>
      </c>
      <c r="G695">
        <v>1</v>
      </c>
      <c r="H695">
        <v>44.15</v>
      </c>
      <c r="I695" t="s">
        <v>1243</v>
      </c>
      <c r="J695" t="s">
        <v>1244</v>
      </c>
      <c r="K695" t="s">
        <v>1245</v>
      </c>
      <c r="M695" t="s">
        <v>1246</v>
      </c>
      <c r="N695" t="s">
        <v>829</v>
      </c>
    </row>
    <row r="696" spans="1:14">
      <c r="A696">
        <v>10903</v>
      </c>
      <c r="B696" t="s">
        <v>1185</v>
      </c>
      <c r="C696">
        <v>3</v>
      </c>
      <c r="D696" s="213">
        <v>35850</v>
      </c>
      <c r="E696" s="213">
        <v>35878</v>
      </c>
      <c r="F696" s="213">
        <v>35858</v>
      </c>
      <c r="G696">
        <v>3</v>
      </c>
      <c r="H696">
        <v>36.71</v>
      </c>
      <c r="I696" t="s">
        <v>1186</v>
      </c>
      <c r="J696" t="s">
        <v>1187</v>
      </c>
      <c r="K696" t="s">
        <v>1158</v>
      </c>
      <c r="L696" t="s">
        <v>57</v>
      </c>
      <c r="M696" t="s">
        <v>1188</v>
      </c>
      <c r="N696" t="s">
        <v>831</v>
      </c>
    </row>
    <row r="697" spans="1:14">
      <c r="A697">
        <v>10904</v>
      </c>
      <c r="B697" t="s">
        <v>1264</v>
      </c>
      <c r="C697">
        <v>3</v>
      </c>
      <c r="D697" s="213">
        <v>35850</v>
      </c>
      <c r="E697" s="213">
        <v>35878</v>
      </c>
      <c r="F697" s="213">
        <v>35853</v>
      </c>
      <c r="G697">
        <v>3</v>
      </c>
      <c r="H697">
        <v>162.94999999999999</v>
      </c>
      <c r="I697" t="s">
        <v>1265</v>
      </c>
      <c r="J697" t="s">
        <v>1266</v>
      </c>
      <c r="K697" t="s">
        <v>1267</v>
      </c>
      <c r="L697" t="s">
        <v>1268</v>
      </c>
      <c r="M697">
        <v>98124</v>
      </c>
      <c r="N697" t="s">
        <v>1241</v>
      </c>
    </row>
    <row r="698" spans="1:14">
      <c r="A698">
        <v>10905</v>
      </c>
      <c r="B698" t="s">
        <v>1207</v>
      </c>
      <c r="C698">
        <v>9</v>
      </c>
      <c r="D698" s="213">
        <v>35850</v>
      </c>
      <c r="E698" s="213">
        <v>35878</v>
      </c>
      <c r="F698" s="213">
        <v>35860</v>
      </c>
      <c r="G698">
        <v>2</v>
      </c>
      <c r="H698">
        <v>13.72</v>
      </c>
      <c r="I698" t="s">
        <v>1208</v>
      </c>
      <c r="J698" t="s">
        <v>1209</v>
      </c>
      <c r="K698" t="s">
        <v>1210</v>
      </c>
      <c r="L698" t="s">
        <v>38</v>
      </c>
      <c r="M698" t="s">
        <v>1211</v>
      </c>
      <c r="N698" t="s">
        <v>831</v>
      </c>
    </row>
    <row r="699" spans="1:14">
      <c r="A699">
        <v>10906</v>
      </c>
      <c r="B699" t="s">
        <v>1457</v>
      </c>
      <c r="C699">
        <v>4</v>
      </c>
      <c r="D699" s="213">
        <v>35851</v>
      </c>
      <c r="E699" s="213">
        <v>35865</v>
      </c>
      <c r="F699" s="213">
        <v>35857</v>
      </c>
      <c r="G699">
        <v>3</v>
      </c>
      <c r="H699">
        <v>26.29</v>
      </c>
      <c r="I699" t="s">
        <v>1458</v>
      </c>
      <c r="J699" t="s">
        <v>1459</v>
      </c>
      <c r="K699" t="s">
        <v>1460</v>
      </c>
      <c r="M699" t="s">
        <v>1461</v>
      </c>
      <c r="N699" t="s">
        <v>1462</v>
      </c>
    </row>
    <row r="700" spans="1:14">
      <c r="A700">
        <v>10907</v>
      </c>
      <c r="B700" t="s">
        <v>1566</v>
      </c>
      <c r="C700">
        <v>6</v>
      </c>
      <c r="D700" s="213">
        <v>35851</v>
      </c>
      <c r="E700" s="213">
        <v>35879</v>
      </c>
      <c r="F700" s="213">
        <v>35853</v>
      </c>
      <c r="G700">
        <v>3</v>
      </c>
      <c r="H700">
        <v>9.19</v>
      </c>
      <c r="I700" t="s">
        <v>1567</v>
      </c>
      <c r="J700" t="s">
        <v>1568</v>
      </c>
      <c r="K700" t="s">
        <v>1569</v>
      </c>
      <c r="M700">
        <v>75016</v>
      </c>
      <c r="N700" t="s">
        <v>824</v>
      </c>
    </row>
    <row r="701" spans="1:14">
      <c r="A701">
        <v>10908</v>
      </c>
      <c r="B701" t="s">
        <v>1312</v>
      </c>
      <c r="C701">
        <v>4</v>
      </c>
      <c r="D701" s="213">
        <v>35852</v>
      </c>
      <c r="E701" s="213">
        <v>35880</v>
      </c>
      <c r="F701" s="213">
        <v>35860</v>
      </c>
      <c r="G701">
        <v>2</v>
      </c>
      <c r="H701">
        <v>32.96</v>
      </c>
      <c r="I701" t="s">
        <v>1313</v>
      </c>
      <c r="J701" t="s">
        <v>1314</v>
      </c>
      <c r="K701" t="s">
        <v>1315</v>
      </c>
      <c r="M701">
        <v>42100</v>
      </c>
      <c r="N701" t="s">
        <v>827</v>
      </c>
    </row>
    <row r="702" spans="1:14">
      <c r="A702">
        <v>10909</v>
      </c>
      <c r="B702" t="s">
        <v>1468</v>
      </c>
      <c r="C702">
        <v>1</v>
      </c>
      <c r="D702" s="213">
        <v>35852</v>
      </c>
      <c r="E702" s="213">
        <v>35880</v>
      </c>
      <c r="F702" s="213">
        <v>35864</v>
      </c>
      <c r="G702">
        <v>2</v>
      </c>
      <c r="H702">
        <v>53.05</v>
      </c>
      <c r="I702" t="s">
        <v>1469</v>
      </c>
      <c r="J702" t="s">
        <v>1470</v>
      </c>
      <c r="K702" t="s">
        <v>1471</v>
      </c>
      <c r="M702">
        <v>4110</v>
      </c>
      <c r="N702" t="s">
        <v>1472</v>
      </c>
    </row>
    <row r="703" spans="1:14">
      <c r="A703">
        <v>10910</v>
      </c>
      <c r="B703" t="s">
        <v>1550</v>
      </c>
      <c r="C703">
        <v>1</v>
      </c>
      <c r="D703" s="213">
        <v>35852</v>
      </c>
      <c r="E703" s="213">
        <v>35880</v>
      </c>
      <c r="F703" s="213">
        <v>35858</v>
      </c>
      <c r="G703">
        <v>3</v>
      </c>
      <c r="H703">
        <v>38.11</v>
      </c>
      <c r="I703" t="s">
        <v>1551</v>
      </c>
      <c r="J703" t="s">
        <v>1552</v>
      </c>
      <c r="K703" t="s">
        <v>1553</v>
      </c>
      <c r="M703">
        <v>21240</v>
      </c>
      <c r="N703" t="s">
        <v>1255</v>
      </c>
    </row>
    <row r="704" spans="1:14">
      <c r="A704">
        <v>10911</v>
      </c>
      <c r="B704" t="s">
        <v>1340</v>
      </c>
      <c r="C704">
        <v>3</v>
      </c>
      <c r="D704" s="213">
        <v>35852</v>
      </c>
      <c r="E704" s="213">
        <v>35880</v>
      </c>
      <c r="F704" s="213">
        <v>35859</v>
      </c>
      <c r="G704">
        <v>1</v>
      </c>
      <c r="H704">
        <v>38.19</v>
      </c>
      <c r="I704" t="s">
        <v>1341</v>
      </c>
      <c r="J704" t="s">
        <v>1342</v>
      </c>
      <c r="K704" t="s">
        <v>1343</v>
      </c>
      <c r="M704">
        <v>41101</v>
      </c>
      <c r="N704" t="s">
        <v>1302</v>
      </c>
    </row>
    <row r="705" spans="1:14">
      <c r="A705">
        <v>10912</v>
      </c>
      <c r="B705" t="s">
        <v>1330</v>
      </c>
      <c r="C705">
        <v>2</v>
      </c>
      <c r="D705" s="213">
        <v>35852</v>
      </c>
      <c r="E705" s="213">
        <v>35880</v>
      </c>
      <c r="F705" s="213">
        <v>35872</v>
      </c>
      <c r="G705">
        <v>2</v>
      </c>
      <c r="H705">
        <v>580.91</v>
      </c>
      <c r="I705" t="s">
        <v>1331</v>
      </c>
      <c r="J705" t="s">
        <v>1332</v>
      </c>
      <c r="K705" t="s">
        <v>1333</v>
      </c>
      <c r="L705" t="s">
        <v>1334</v>
      </c>
      <c r="N705" t="s">
        <v>1335</v>
      </c>
    </row>
    <row r="706" spans="1:14">
      <c r="A706">
        <v>10913</v>
      </c>
      <c r="B706" t="s">
        <v>1453</v>
      </c>
      <c r="C706">
        <v>4</v>
      </c>
      <c r="D706" s="213">
        <v>35852</v>
      </c>
      <c r="E706" s="213">
        <v>35880</v>
      </c>
      <c r="F706" s="213">
        <v>35858</v>
      </c>
      <c r="G706">
        <v>1</v>
      </c>
      <c r="H706">
        <v>33.049999999999997</v>
      </c>
      <c r="I706" t="s">
        <v>1454</v>
      </c>
      <c r="J706" t="s">
        <v>1455</v>
      </c>
      <c r="K706" t="s">
        <v>983</v>
      </c>
      <c r="L706" t="s">
        <v>38</v>
      </c>
      <c r="M706" t="s">
        <v>1456</v>
      </c>
      <c r="N706" t="s">
        <v>831</v>
      </c>
    </row>
    <row r="707" spans="1:14">
      <c r="A707">
        <v>10914</v>
      </c>
      <c r="B707" t="s">
        <v>1453</v>
      </c>
      <c r="C707">
        <v>6</v>
      </c>
      <c r="D707" s="213">
        <v>35853</v>
      </c>
      <c r="E707" s="213">
        <v>35881</v>
      </c>
      <c r="F707" s="213">
        <v>35856</v>
      </c>
      <c r="G707">
        <v>1</v>
      </c>
      <c r="H707">
        <v>21.19</v>
      </c>
      <c r="I707" t="s">
        <v>1454</v>
      </c>
      <c r="J707" t="s">
        <v>1455</v>
      </c>
      <c r="K707" t="s">
        <v>983</v>
      </c>
      <c r="L707" t="s">
        <v>38</v>
      </c>
      <c r="M707" t="s">
        <v>1456</v>
      </c>
      <c r="N707" t="s">
        <v>831</v>
      </c>
    </row>
    <row r="708" spans="1:14">
      <c r="A708">
        <v>10915</v>
      </c>
      <c r="B708" t="s">
        <v>1282</v>
      </c>
      <c r="C708">
        <v>2</v>
      </c>
      <c r="D708" s="213">
        <v>35853</v>
      </c>
      <c r="E708" s="213">
        <v>35881</v>
      </c>
      <c r="F708" s="213">
        <v>35856</v>
      </c>
      <c r="G708">
        <v>2</v>
      </c>
      <c r="H708">
        <v>3.51</v>
      </c>
      <c r="I708" t="s">
        <v>1283</v>
      </c>
      <c r="J708" t="s">
        <v>1284</v>
      </c>
      <c r="K708" t="s">
        <v>1226</v>
      </c>
      <c r="M708">
        <v>5033</v>
      </c>
      <c r="N708" t="s">
        <v>1227</v>
      </c>
    </row>
    <row r="709" spans="1:14">
      <c r="A709">
        <v>10916</v>
      </c>
      <c r="B709" t="s">
        <v>1507</v>
      </c>
      <c r="C709">
        <v>1</v>
      </c>
      <c r="D709" s="213">
        <v>35853</v>
      </c>
      <c r="E709" s="213">
        <v>35881</v>
      </c>
      <c r="F709" s="213">
        <v>35863</v>
      </c>
      <c r="G709">
        <v>2</v>
      </c>
      <c r="H709">
        <v>63.77</v>
      </c>
      <c r="I709" t="s">
        <v>1508</v>
      </c>
      <c r="J709" t="s">
        <v>1509</v>
      </c>
      <c r="K709" t="s">
        <v>1492</v>
      </c>
      <c r="M709">
        <v>1010</v>
      </c>
      <c r="N709" t="s">
        <v>1493</v>
      </c>
    </row>
    <row r="710" spans="1:14">
      <c r="A710">
        <v>10917</v>
      </c>
      <c r="B710" t="s">
        <v>1298</v>
      </c>
      <c r="C710">
        <v>4</v>
      </c>
      <c r="D710" s="213">
        <v>35856</v>
      </c>
      <c r="E710" s="213">
        <v>35884</v>
      </c>
      <c r="F710" s="213">
        <v>35865</v>
      </c>
      <c r="G710">
        <v>2</v>
      </c>
      <c r="H710">
        <v>8.2899999999999991</v>
      </c>
      <c r="I710" t="s">
        <v>1299</v>
      </c>
      <c r="J710" t="s">
        <v>1300</v>
      </c>
      <c r="K710" t="s">
        <v>1301</v>
      </c>
      <c r="M710">
        <v>28001</v>
      </c>
      <c r="N710" t="s">
        <v>1302</v>
      </c>
    </row>
    <row r="711" spans="1:14">
      <c r="A711">
        <v>10918</v>
      </c>
      <c r="B711" t="s">
        <v>1473</v>
      </c>
      <c r="C711">
        <v>3</v>
      </c>
      <c r="D711" s="213">
        <v>35856</v>
      </c>
      <c r="E711" s="213">
        <v>35884</v>
      </c>
      <c r="F711" s="213">
        <v>35865</v>
      </c>
      <c r="G711">
        <v>3</v>
      </c>
      <c r="H711">
        <v>48.83</v>
      </c>
      <c r="I711" t="s">
        <v>1474</v>
      </c>
      <c r="J711" t="s">
        <v>1475</v>
      </c>
      <c r="K711" t="s">
        <v>1476</v>
      </c>
      <c r="L711" t="s">
        <v>1477</v>
      </c>
      <c r="M711" t="s">
        <v>1478</v>
      </c>
      <c r="N711" t="s">
        <v>1402</v>
      </c>
    </row>
    <row r="712" spans="1:14">
      <c r="A712">
        <v>10919</v>
      </c>
      <c r="B712" t="s">
        <v>1479</v>
      </c>
      <c r="C712">
        <v>2</v>
      </c>
      <c r="D712" s="213">
        <v>35856</v>
      </c>
      <c r="E712" s="213">
        <v>35884</v>
      </c>
      <c r="F712" s="213">
        <v>35858</v>
      </c>
      <c r="G712">
        <v>2</v>
      </c>
      <c r="H712">
        <v>19.8</v>
      </c>
      <c r="I712" t="s">
        <v>1480</v>
      </c>
      <c r="J712" t="s">
        <v>1481</v>
      </c>
      <c r="K712" t="s">
        <v>1482</v>
      </c>
      <c r="L712" t="s">
        <v>1483</v>
      </c>
      <c r="M712">
        <v>4980</v>
      </c>
      <c r="N712" t="s">
        <v>1217</v>
      </c>
    </row>
    <row r="713" spans="1:14">
      <c r="A713">
        <v>10920</v>
      </c>
      <c r="B713" t="s">
        <v>1423</v>
      </c>
      <c r="C713">
        <v>4</v>
      </c>
      <c r="D713" s="213">
        <v>35857</v>
      </c>
      <c r="E713" s="213">
        <v>35885</v>
      </c>
      <c r="F713" s="213">
        <v>35863</v>
      </c>
      <c r="G713">
        <v>2</v>
      </c>
      <c r="H713">
        <v>29.61</v>
      </c>
      <c r="I713" t="s">
        <v>1424</v>
      </c>
      <c r="J713" t="s">
        <v>1425</v>
      </c>
    </row>
    <row r="714" spans="1:14">
      <c r="A714" t="s">
        <v>1426</v>
      </c>
      <c r="B714" t="s">
        <v>1427</v>
      </c>
      <c r="C714" t="s">
        <v>1428</v>
      </c>
      <c r="D714" t="s">
        <v>1429</v>
      </c>
      <c r="E714" t="s">
        <v>1321</v>
      </c>
    </row>
    <row r="715" spans="1:14">
      <c r="A715">
        <v>10921</v>
      </c>
      <c r="B715" t="s">
        <v>1449</v>
      </c>
      <c r="C715">
        <v>1</v>
      </c>
      <c r="D715" s="213">
        <v>35857</v>
      </c>
      <c r="E715" s="213">
        <v>35899</v>
      </c>
      <c r="F715" s="213">
        <v>35863</v>
      </c>
      <c r="G715">
        <v>1</v>
      </c>
      <c r="H715">
        <v>176.48</v>
      </c>
      <c r="I715" t="s">
        <v>1450</v>
      </c>
      <c r="J715" t="s">
        <v>1451</v>
      </c>
      <c r="K715" t="s">
        <v>1452</v>
      </c>
      <c r="M715">
        <v>8200</v>
      </c>
      <c r="N715" t="s">
        <v>1410</v>
      </c>
    </row>
    <row r="716" spans="1:14">
      <c r="A716">
        <v>10922</v>
      </c>
      <c r="B716" t="s">
        <v>1185</v>
      </c>
      <c r="C716">
        <v>5</v>
      </c>
      <c r="D716" s="213">
        <v>35857</v>
      </c>
      <c r="E716" s="213">
        <v>35885</v>
      </c>
      <c r="F716" s="213">
        <v>35859</v>
      </c>
      <c r="G716">
        <v>3</v>
      </c>
      <c r="H716">
        <v>62.74</v>
      </c>
      <c r="I716" t="s">
        <v>1186</v>
      </c>
      <c r="J716" t="s">
        <v>1187</v>
      </c>
      <c r="K716" t="s">
        <v>1158</v>
      </c>
      <c r="L716" t="s">
        <v>57</v>
      </c>
      <c r="M716" t="s">
        <v>1188</v>
      </c>
      <c r="N716" t="s">
        <v>831</v>
      </c>
    </row>
    <row r="717" spans="1:14">
      <c r="A717">
        <v>10923</v>
      </c>
      <c r="B717" t="s">
        <v>1415</v>
      </c>
      <c r="C717">
        <v>7</v>
      </c>
      <c r="D717" s="213">
        <v>35857</v>
      </c>
      <c r="E717" s="213">
        <v>35899</v>
      </c>
      <c r="F717" s="213">
        <v>35867</v>
      </c>
      <c r="G717">
        <v>3</v>
      </c>
      <c r="H717">
        <v>68.260000000000005</v>
      </c>
      <c r="I717" t="s">
        <v>1416</v>
      </c>
      <c r="J717" t="s">
        <v>1417</v>
      </c>
      <c r="K717" t="s">
        <v>1418</v>
      </c>
      <c r="M717">
        <v>31000</v>
      </c>
      <c r="N717" t="s">
        <v>824</v>
      </c>
    </row>
    <row r="718" spans="1:14">
      <c r="A718">
        <v>10924</v>
      </c>
      <c r="B718" t="s">
        <v>1289</v>
      </c>
      <c r="C718">
        <v>3</v>
      </c>
      <c r="D718" s="213">
        <v>35858</v>
      </c>
      <c r="E718" s="213">
        <v>35886</v>
      </c>
      <c r="F718" s="213">
        <v>35893</v>
      </c>
      <c r="G718">
        <v>2</v>
      </c>
      <c r="H718">
        <v>151.52000000000001</v>
      </c>
      <c r="I718" t="s">
        <v>1290</v>
      </c>
      <c r="J718" t="s">
        <v>1291</v>
      </c>
      <c r="K718" t="s">
        <v>1292</v>
      </c>
      <c r="M718" t="s">
        <v>1293</v>
      </c>
      <c r="N718" t="s">
        <v>829</v>
      </c>
    </row>
    <row r="719" spans="1:14">
      <c r="A719">
        <v>10925</v>
      </c>
      <c r="B719" t="s">
        <v>1185</v>
      </c>
      <c r="C719">
        <v>3</v>
      </c>
      <c r="D719" s="213">
        <v>35858</v>
      </c>
      <c r="E719" s="213">
        <v>35886</v>
      </c>
      <c r="F719" s="213">
        <v>35867</v>
      </c>
      <c r="G719">
        <v>1</v>
      </c>
      <c r="H719">
        <v>2.27</v>
      </c>
      <c r="I719" t="s">
        <v>1186</v>
      </c>
      <c r="J719" t="s">
        <v>1187</v>
      </c>
      <c r="K719" t="s">
        <v>1158</v>
      </c>
      <c r="L719" t="s">
        <v>57</v>
      </c>
      <c r="M719" t="s">
        <v>1188</v>
      </c>
      <c r="N719" t="s">
        <v>831</v>
      </c>
    </row>
    <row r="720" spans="1:14">
      <c r="A720">
        <v>10926</v>
      </c>
      <c r="B720" t="s">
        <v>1354</v>
      </c>
      <c r="C720">
        <v>4</v>
      </c>
      <c r="D720" s="213">
        <v>35858</v>
      </c>
      <c r="E720" s="213">
        <v>35886</v>
      </c>
      <c r="F720" s="213">
        <v>35865</v>
      </c>
      <c r="G720">
        <v>3</v>
      </c>
      <c r="H720">
        <v>39.92</v>
      </c>
      <c r="I720" t="s">
        <v>1355</v>
      </c>
      <c r="J720" t="s">
        <v>1356</v>
      </c>
      <c r="K720" t="s">
        <v>1226</v>
      </c>
      <c r="M720">
        <v>5021</v>
      </c>
      <c r="N720" t="s">
        <v>1227</v>
      </c>
    </row>
    <row r="721" spans="1:14">
      <c r="A721">
        <v>10927</v>
      </c>
      <c r="B721" t="s">
        <v>1570</v>
      </c>
      <c r="C721">
        <v>4</v>
      </c>
      <c r="D721" s="213">
        <v>35859</v>
      </c>
      <c r="E721" s="213">
        <v>35887</v>
      </c>
      <c r="F721" s="213">
        <v>35893</v>
      </c>
      <c r="G721">
        <v>1</v>
      </c>
      <c r="H721">
        <v>19.79</v>
      </c>
      <c r="I721" t="s">
        <v>1571</v>
      </c>
      <c r="J721" t="s">
        <v>1572</v>
      </c>
      <c r="K721" t="s">
        <v>1573</v>
      </c>
      <c r="M721">
        <v>78000</v>
      </c>
      <c r="N721" t="s">
        <v>824</v>
      </c>
    </row>
    <row r="722" spans="1:14">
      <c r="A722">
        <v>10928</v>
      </c>
      <c r="B722" t="s">
        <v>1445</v>
      </c>
      <c r="C722">
        <v>1</v>
      </c>
      <c r="D722" s="213">
        <v>35859</v>
      </c>
      <c r="E722" s="213">
        <v>35887</v>
      </c>
      <c r="F722" s="213">
        <v>35872</v>
      </c>
      <c r="G722">
        <v>1</v>
      </c>
      <c r="H722">
        <v>1.36</v>
      </c>
      <c r="I722" t="s">
        <v>1446</v>
      </c>
      <c r="J722" t="s">
        <v>1447</v>
      </c>
      <c r="K722" t="s">
        <v>1448</v>
      </c>
      <c r="M722">
        <v>8022</v>
      </c>
      <c r="N722" t="s">
        <v>1302</v>
      </c>
    </row>
    <row r="723" spans="1:14">
      <c r="A723">
        <v>10929</v>
      </c>
      <c r="B723" t="s">
        <v>1256</v>
      </c>
      <c r="C723">
        <v>6</v>
      </c>
      <c r="D723" s="213">
        <v>35859</v>
      </c>
      <c r="E723" s="213">
        <v>35887</v>
      </c>
      <c r="F723" s="213">
        <v>35866</v>
      </c>
      <c r="G723">
        <v>1</v>
      </c>
      <c r="H723">
        <v>33.93</v>
      </c>
      <c r="I723" t="s">
        <v>1257</v>
      </c>
      <c r="J723" t="s">
        <v>1258</v>
      </c>
      <c r="K723" t="s">
        <v>1259</v>
      </c>
      <c r="M723">
        <v>80805</v>
      </c>
      <c r="N723" t="s">
        <v>1184</v>
      </c>
    </row>
    <row r="724" spans="1:14">
      <c r="A724">
        <v>10930</v>
      </c>
      <c r="B724" t="s">
        <v>1193</v>
      </c>
      <c r="C724">
        <v>4</v>
      </c>
      <c r="D724" s="213">
        <v>35860</v>
      </c>
      <c r="E724" s="213">
        <v>35902</v>
      </c>
      <c r="F724" s="213">
        <v>35872</v>
      </c>
      <c r="G724">
        <v>3</v>
      </c>
      <c r="H724">
        <v>15.55</v>
      </c>
      <c r="I724" t="s">
        <v>1194</v>
      </c>
      <c r="J724" t="s">
        <v>1195</v>
      </c>
      <c r="K724" t="s">
        <v>1196</v>
      </c>
      <c r="M724" t="s">
        <v>1197</v>
      </c>
      <c r="N724" t="s">
        <v>833</v>
      </c>
    </row>
    <row r="725" spans="1:14">
      <c r="A725">
        <v>10931</v>
      </c>
      <c r="B725" t="s">
        <v>1203</v>
      </c>
      <c r="C725">
        <v>4</v>
      </c>
      <c r="D725" s="213">
        <v>35860</v>
      </c>
      <c r="E725" s="213">
        <v>35874</v>
      </c>
      <c r="F725" s="213">
        <v>35873</v>
      </c>
      <c r="G725">
        <v>2</v>
      </c>
      <c r="H725">
        <v>13.6</v>
      </c>
      <c r="I725" t="s">
        <v>1204</v>
      </c>
      <c r="J725" t="s">
        <v>1205</v>
      </c>
      <c r="K725" t="s">
        <v>1206</v>
      </c>
      <c r="M725">
        <v>1204</v>
      </c>
      <c r="N725" t="s">
        <v>1202</v>
      </c>
    </row>
    <row r="726" spans="1:14">
      <c r="A726">
        <v>10932</v>
      </c>
      <c r="B726" t="s">
        <v>1392</v>
      </c>
      <c r="C726">
        <v>8</v>
      </c>
      <c r="D726" s="213">
        <v>35860</v>
      </c>
      <c r="E726" s="213">
        <v>35888</v>
      </c>
      <c r="F726" s="213">
        <v>35878</v>
      </c>
      <c r="G726">
        <v>1</v>
      </c>
      <c r="H726">
        <v>134.63999999999999</v>
      </c>
      <c r="I726" t="s">
        <v>1393</v>
      </c>
      <c r="J726" t="s">
        <v>1394</v>
      </c>
      <c r="K726" t="s">
        <v>1395</v>
      </c>
      <c r="M726">
        <v>13008</v>
      </c>
      <c r="N726" t="s">
        <v>824</v>
      </c>
    </row>
    <row r="727" spans="1:14">
      <c r="A727">
        <v>10933</v>
      </c>
      <c r="B727" t="s">
        <v>1365</v>
      </c>
      <c r="C727">
        <v>6</v>
      </c>
      <c r="D727" s="213">
        <v>35860</v>
      </c>
      <c r="E727" s="213">
        <v>35888</v>
      </c>
      <c r="F727" s="213">
        <v>35870</v>
      </c>
      <c r="G727">
        <v>3</v>
      </c>
      <c r="H727">
        <v>54.15</v>
      </c>
      <c r="I727" t="s">
        <v>1366</v>
      </c>
      <c r="J727" t="s">
        <v>1367</v>
      </c>
    </row>
    <row r="728" spans="1:14">
      <c r="A728" t="s">
        <v>1368</v>
      </c>
      <c r="B728" t="s">
        <v>1369</v>
      </c>
      <c r="C728" t="s">
        <v>1370</v>
      </c>
      <c r="D728" t="s">
        <v>1371</v>
      </c>
      <c r="E728" t="s">
        <v>1321</v>
      </c>
    </row>
    <row r="729" spans="1:14">
      <c r="A729">
        <v>10934</v>
      </c>
      <c r="B729" t="s">
        <v>1294</v>
      </c>
      <c r="C729">
        <v>3</v>
      </c>
      <c r="D729" s="213">
        <v>35863</v>
      </c>
      <c r="E729" s="213">
        <v>35891</v>
      </c>
      <c r="F729" s="213">
        <v>35866</v>
      </c>
      <c r="G729">
        <v>3</v>
      </c>
      <c r="H729">
        <v>32.01</v>
      </c>
      <c r="I729" t="s">
        <v>1295</v>
      </c>
      <c r="J729" t="s">
        <v>1296</v>
      </c>
      <c r="K729" t="s">
        <v>1297</v>
      </c>
      <c r="M729">
        <v>60528</v>
      </c>
      <c r="N729" t="s">
        <v>1184</v>
      </c>
    </row>
    <row r="730" spans="1:14">
      <c r="A730">
        <v>10935</v>
      </c>
      <c r="B730" t="s">
        <v>1207</v>
      </c>
      <c r="C730">
        <v>4</v>
      </c>
      <c r="D730" s="213">
        <v>35863</v>
      </c>
      <c r="E730" s="213">
        <v>35891</v>
      </c>
      <c r="F730" s="213">
        <v>35872</v>
      </c>
      <c r="G730">
        <v>3</v>
      </c>
      <c r="H730">
        <v>47.59</v>
      </c>
      <c r="I730" t="s">
        <v>1208</v>
      </c>
      <c r="J730" t="s">
        <v>1209</v>
      </c>
      <c r="K730" t="s">
        <v>1210</v>
      </c>
      <c r="L730" t="s">
        <v>38</v>
      </c>
      <c r="M730" t="s">
        <v>1211</v>
      </c>
      <c r="N730" t="s">
        <v>831</v>
      </c>
    </row>
    <row r="731" spans="1:14">
      <c r="A731">
        <v>10936</v>
      </c>
      <c r="B731" t="s">
        <v>1531</v>
      </c>
      <c r="C731">
        <v>3</v>
      </c>
      <c r="D731" s="213">
        <v>35863</v>
      </c>
      <c r="E731" s="213">
        <v>35891</v>
      </c>
      <c r="F731" s="213">
        <v>35872</v>
      </c>
      <c r="G731">
        <v>2</v>
      </c>
      <c r="H731">
        <v>33.68</v>
      </c>
      <c r="I731" t="s">
        <v>1532</v>
      </c>
      <c r="J731" t="s">
        <v>1533</v>
      </c>
      <c r="K731" t="s">
        <v>1534</v>
      </c>
      <c r="L731" t="s">
        <v>1353</v>
      </c>
      <c r="M731">
        <v>97403</v>
      </c>
      <c r="N731" t="s">
        <v>1241</v>
      </c>
    </row>
    <row r="732" spans="1:14">
      <c r="A732">
        <v>10937</v>
      </c>
      <c r="B732" t="s">
        <v>1528</v>
      </c>
      <c r="C732">
        <v>7</v>
      </c>
      <c r="D732" s="213">
        <v>35864</v>
      </c>
      <c r="E732" s="213">
        <v>35878</v>
      </c>
      <c r="F732" s="213">
        <v>35867</v>
      </c>
      <c r="G732">
        <v>3</v>
      </c>
      <c r="H732">
        <v>31.51</v>
      </c>
      <c r="I732" t="s">
        <v>1529</v>
      </c>
      <c r="J732" t="s">
        <v>1530</v>
      </c>
      <c r="K732" t="s">
        <v>1492</v>
      </c>
      <c r="M732">
        <v>1010</v>
      </c>
      <c r="N732" t="s">
        <v>1493</v>
      </c>
    </row>
    <row r="733" spans="1:14">
      <c r="A733">
        <v>10938</v>
      </c>
      <c r="B733" t="s">
        <v>1274</v>
      </c>
      <c r="C733">
        <v>3</v>
      </c>
      <c r="D733" s="213">
        <v>35864</v>
      </c>
      <c r="E733" s="213">
        <v>35892</v>
      </c>
      <c r="F733" s="213">
        <v>35870</v>
      </c>
      <c r="G733">
        <v>2</v>
      </c>
      <c r="H733">
        <v>31.89</v>
      </c>
      <c r="I733" t="s">
        <v>1275</v>
      </c>
      <c r="J733" t="s">
        <v>1276</v>
      </c>
      <c r="K733" t="s">
        <v>1277</v>
      </c>
      <c r="M733">
        <v>1307</v>
      </c>
      <c r="N733" t="s">
        <v>1184</v>
      </c>
    </row>
    <row r="734" spans="1:14">
      <c r="A734">
        <v>10939</v>
      </c>
      <c r="B734" t="s">
        <v>1278</v>
      </c>
      <c r="C734">
        <v>2</v>
      </c>
      <c r="D734" s="213">
        <v>35864</v>
      </c>
      <c r="E734" s="213">
        <v>35892</v>
      </c>
      <c r="F734" s="213">
        <v>35867</v>
      </c>
      <c r="G734">
        <v>2</v>
      </c>
      <c r="H734">
        <v>76.33</v>
      </c>
      <c r="I734" t="s">
        <v>1279</v>
      </c>
      <c r="J734" t="s">
        <v>1280</v>
      </c>
      <c r="K734" t="s">
        <v>1281</v>
      </c>
      <c r="M734">
        <v>24100</v>
      </c>
      <c r="N734" t="s">
        <v>827</v>
      </c>
    </row>
    <row r="735" spans="1:14">
      <c r="A735">
        <v>10940</v>
      </c>
      <c r="B735" t="s">
        <v>1392</v>
      </c>
      <c r="C735">
        <v>8</v>
      </c>
      <c r="D735" s="213">
        <v>35865</v>
      </c>
      <c r="E735" s="213">
        <v>35893</v>
      </c>
      <c r="F735" s="213">
        <v>35877</v>
      </c>
      <c r="G735">
        <v>3</v>
      </c>
      <c r="H735">
        <v>19.77</v>
      </c>
      <c r="I735" t="s">
        <v>1393</v>
      </c>
      <c r="J735" t="s">
        <v>1394</v>
      </c>
      <c r="K735" t="s">
        <v>1395</v>
      </c>
      <c r="M735">
        <v>13008</v>
      </c>
      <c r="N735" t="s">
        <v>824</v>
      </c>
    </row>
    <row r="736" spans="1:14">
      <c r="A736">
        <v>10941</v>
      </c>
      <c r="B736" t="s">
        <v>1379</v>
      </c>
      <c r="C736">
        <v>7</v>
      </c>
      <c r="D736" s="213">
        <v>35865</v>
      </c>
      <c r="E736" s="213">
        <v>35893</v>
      </c>
      <c r="F736" s="213">
        <v>35874</v>
      </c>
      <c r="G736">
        <v>2</v>
      </c>
      <c r="H736">
        <v>400.81</v>
      </c>
      <c r="I736" t="s">
        <v>1380</v>
      </c>
      <c r="J736" t="s">
        <v>1381</v>
      </c>
      <c r="K736" t="s">
        <v>1382</v>
      </c>
      <c r="L736" t="s">
        <v>1383</v>
      </c>
      <c r="M736">
        <v>83720</v>
      </c>
      <c r="N736" t="s">
        <v>1241</v>
      </c>
    </row>
    <row r="737" spans="1:14">
      <c r="A737">
        <v>10942</v>
      </c>
      <c r="B737" t="s">
        <v>1312</v>
      </c>
      <c r="C737">
        <v>9</v>
      </c>
      <c r="D737" s="213">
        <v>35865</v>
      </c>
      <c r="E737" s="213">
        <v>35893</v>
      </c>
      <c r="F737" s="213">
        <v>35872</v>
      </c>
      <c r="G737">
        <v>3</v>
      </c>
      <c r="H737">
        <v>17.95</v>
      </c>
      <c r="I737" t="s">
        <v>1313</v>
      </c>
      <c r="J737" t="s">
        <v>1314</v>
      </c>
      <c r="K737" t="s">
        <v>1315</v>
      </c>
      <c r="M737">
        <v>42100</v>
      </c>
      <c r="N737" t="s">
        <v>827</v>
      </c>
    </row>
    <row r="738" spans="1:14">
      <c r="A738">
        <v>10943</v>
      </c>
      <c r="B738" t="s">
        <v>1316</v>
      </c>
      <c r="C738">
        <v>4</v>
      </c>
      <c r="D738" s="213">
        <v>35865</v>
      </c>
      <c r="E738" s="213">
        <v>35893</v>
      </c>
      <c r="F738" s="213">
        <v>35873</v>
      </c>
      <c r="G738">
        <v>2</v>
      </c>
      <c r="H738">
        <v>2.17</v>
      </c>
      <c r="I738" t="s">
        <v>1317</v>
      </c>
      <c r="J738" t="s">
        <v>1318</v>
      </c>
      <c r="K738" t="s">
        <v>1319</v>
      </c>
      <c r="M738" t="s">
        <v>1320</v>
      </c>
      <c r="N738" t="s">
        <v>1321</v>
      </c>
    </row>
    <row r="739" spans="1:14">
      <c r="A739">
        <v>10944</v>
      </c>
      <c r="B739" t="s">
        <v>1473</v>
      </c>
      <c r="C739">
        <v>6</v>
      </c>
      <c r="D739" s="213">
        <v>35866</v>
      </c>
      <c r="E739" s="213">
        <v>35880</v>
      </c>
      <c r="F739" s="213">
        <v>35867</v>
      </c>
      <c r="G739">
        <v>3</v>
      </c>
      <c r="H739">
        <v>52.92</v>
      </c>
      <c r="I739" t="s">
        <v>1474</v>
      </c>
      <c r="J739" t="s">
        <v>1475</v>
      </c>
      <c r="K739" t="s">
        <v>1476</v>
      </c>
      <c r="L739" t="s">
        <v>1477</v>
      </c>
      <c r="M739" t="s">
        <v>1478</v>
      </c>
      <c r="N739" t="s">
        <v>1402</v>
      </c>
    </row>
    <row r="740" spans="1:14">
      <c r="A740">
        <v>10945</v>
      </c>
      <c r="B740" t="s">
        <v>1285</v>
      </c>
      <c r="C740">
        <v>4</v>
      </c>
      <c r="D740" s="213">
        <v>35866</v>
      </c>
      <c r="E740" s="213">
        <v>35894</v>
      </c>
      <c r="F740" s="213">
        <v>35872</v>
      </c>
      <c r="G740">
        <v>1</v>
      </c>
      <c r="H740">
        <v>10.220000000000001</v>
      </c>
      <c r="I740" t="s">
        <v>1286</v>
      </c>
      <c r="J740" t="s">
        <v>1287</v>
      </c>
      <c r="K740" t="s">
        <v>1288</v>
      </c>
      <c r="M740">
        <v>4179</v>
      </c>
      <c r="N740" t="s">
        <v>1184</v>
      </c>
    </row>
    <row r="741" spans="1:14">
      <c r="A741">
        <v>10946</v>
      </c>
      <c r="B741" t="s">
        <v>1449</v>
      </c>
      <c r="C741">
        <v>1</v>
      </c>
      <c r="D741" s="213">
        <v>35866</v>
      </c>
      <c r="E741" s="213">
        <v>35894</v>
      </c>
      <c r="F741" s="213">
        <v>35873</v>
      </c>
      <c r="G741">
        <v>2</v>
      </c>
      <c r="H741">
        <v>27.2</v>
      </c>
      <c r="I741" t="s">
        <v>1450</v>
      </c>
      <c r="J741" t="s">
        <v>1451</v>
      </c>
      <c r="K741" t="s">
        <v>1452</v>
      </c>
      <c r="M741">
        <v>8200</v>
      </c>
      <c r="N741" t="s">
        <v>1410</v>
      </c>
    </row>
    <row r="742" spans="1:14">
      <c r="A742">
        <v>10947</v>
      </c>
      <c r="B742" t="s">
        <v>1316</v>
      </c>
      <c r="C742">
        <v>3</v>
      </c>
      <c r="D742" s="213">
        <v>35867</v>
      </c>
      <c r="E742" s="213">
        <v>35895</v>
      </c>
      <c r="F742" s="213">
        <v>35870</v>
      </c>
      <c r="G742">
        <v>2</v>
      </c>
      <c r="H742">
        <v>3.26</v>
      </c>
      <c r="I742" t="s">
        <v>1317</v>
      </c>
      <c r="J742" t="s">
        <v>1318</v>
      </c>
      <c r="K742" t="s">
        <v>1319</v>
      </c>
      <c r="M742" t="s">
        <v>1320</v>
      </c>
      <c r="N742" t="s">
        <v>1321</v>
      </c>
    </row>
    <row r="743" spans="1:14">
      <c r="A743">
        <v>10948</v>
      </c>
      <c r="B743" t="s">
        <v>1340</v>
      </c>
      <c r="C743">
        <v>3</v>
      </c>
      <c r="D743" s="213">
        <v>35867</v>
      </c>
      <c r="E743" s="213">
        <v>35895</v>
      </c>
      <c r="F743" s="213">
        <v>35873</v>
      </c>
      <c r="G743">
        <v>3</v>
      </c>
      <c r="H743">
        <v>23.39</v>
      </c>
      <c r="I743" t="s">
        <v>1341</v>
      </c>
      <c r="J743" t="s">
        <v>1342</v>
      </c>
      <c r="K743" t="s">
        <v>1343</v>
      </c>
      <c r="M743">
        <v>41101</v>
      </c>
      <c r="N743" t="s">
        <v>1302</v>
      </c>
    </row>
    <row r="744" spans="1:14">
      <c r="A744">
        <v>10949</v>
      </c>
      <c r="B744" t="s">
        <v>1473</v>
      </c>
      <c r="C744">
        <v>2</v>
      </c>
      <c r="D744" s="213">
        <v>35867</v>
      </c>
      <c r="E744" s="213">
        <v>35895</v>
      </c>
      <c r="F744" s="213">
        <v>35871</v>
      </c>
      <c r="G744">
        <v>3</v>
      </c>
      <c r="H744">
        <v>74.44</v>
      </c>
      <c r="I744" t="s">
        <v>1474</v>
      </c>
      <c r="J744" t="s">
        <v>1475</v>
      </c>
      <c r="K744" t="s">
        <v>1476</v>
      </c>
      <c r="L744" t="s">
        <v>1477</v>
      </c>
      <c r="M744" t="s">
        <v>1478</v>
      </c>
      <c r="N744" t="s">
        <v>1402</v>
      </c>
    </row>
    <row r="745" spans="1:14">
      <c r="A745">
        <v>10950</v>
      </c>
      <c r="B745" t="s">
        <v>1278</v>
      </c>
      <c r="C745">
        <v>1</v>
      </c>
      <c r="D745" s="213">
        <v>35870</v>
      </c>
      <c r="E745" s="213">
        <v>35898</v>
      </c>
      <c r="F745" s="213">
        <v>35877</v>
      </c>
      <c r="G745">
        <v>2</v>
      </c>
      <c r="H745">
        <v>2.5</v>
      </c>
      <c r="I745" t="s">
        <v>1279</v>
      </c>
      <c r="J745" t="s">
        <v>1280</v>
      </c>
      <c r="K745" t="s">
        <v>1281</v>
      </c>
      <c r="M745">
        <v>24100</v>
      </c>
      <c r="N745" t="s">
        <v>827</v>
      </c>
    </row>
    <row r="746" spans="1:14">
      <c r="A746">
        <v>10951</v>
      </c>
      <c r="B746" t="s">
        <v>1203</v>
      </c>
      <c r="C746">
        <v>9</v>
      </c>
      <c r="D746" s="213">
        <v>35870</v>
      </c>
      <c r="E746" s="213">
        <v>35912</v>
      </c>
      <c r="F746" s="213">
        <v>35892</v>
      </c>
      <c r="G746">
        <v>2</v>
      </c>
      <c r="H746">
        <v>30.85</v>
      </c>
      <c r="I746" t="s">
        <v>1204</v>
      </c>
      <c r="J746" t="s">
        <v>1205</v>
      </c>
      <c r="K746" t="s">
        <v>1206</v>
      </c>
      <c r="M746">
        <v>1204</v>
      </c>
      <c r="N746" t="s">
        <v>1202</v>
      </c>
    </row>
    <row r="747" spans="1:14">
      <c r="A747">
        <v>10952</v>
      </c>
      <c r="B747" t="s">
        <v>1559</v>
      </c>
      <c r="C747">
        <v>1</v>
      </c>
      <c r="D747" s="213">
        <v>35870</v>
      </c>
      <c r="E747" s="213">
        <v>35912</v>
      </c>
      <c r="F747" s="213">
        <v>35878</v>
      </c>
      <c r="G747">
        <v>1</v>
      </c>
      <c r="H747">
        <v>40.42</v>
      </c>
      <c r="I747" t="s">
        <v>1560</v>
      </c>
      <c r="J747" t="s">
        <v>1561</v>
      </c>
      <c r="K747" t="s">
        <v>1562</v>
      </c>
      <c r="M747">
        <v>12209</v>
      </c>
      <c r="N747" t="s">
        <v>1184</v>
      </c>
    </row>
    <row r="748" spans="1:14">
      <c r="A748">
        <v>10953</v>
      </c>
      <c r="B748" t="s">
        <v>1423</v>
      </c>
      <c r="C748">
        <v>9</v>
      </c>
      <c r="D748" s="213">
        <v>35870</v>
      </c>
      <c r="E748" s="213">
        <v>35884</v>
      </c>
      <c r="F748" s="213">
        <v>35879</v>
      </c>
      <c r="G748">
        <v>2</v>
      </c>
      <c r="H748">
        <v>23.72</v>
      </c>
      <c r="I748" t="s">
        <v>1424</v>
      </c>
      <c r="J748" t="s">
        <v>1425</v>
      </c>
    </row>
    <row r="749" spans="1:14">
      <c r="A749" t="s">
        <v>1426</v>
      </c>
      <c r="B749" t="s">
        <v>1427</v>
      </c>
      <c r="C749" t="s">
        <v>1428</v>
      </c>
      <c r="D749" t="s">
        <v>1429</v>
      </c>
      <c r="E749" t="s">
        <v>1321</v>
      </c>
    </row>
    <row r="750" spans="1:14">
      <c r="A750">
        <v>10954</v>
      </c>
      <c r="B750" t="s">
        <v>1479</v>
      </c>
      <c r="C750">
        <v>5</v>
      </c>
      <c r="D750" s="213">
        <v>35871</v>
      </c>
      <c r="E750" s="213">
        <v>35913</v>
      </c>
      <c r="F750" s="213">
        <v>35874</v>
      </c>
      <c r="G750">
        <v>1</v>
      </c>
      <c r="H750">
        <v>27.91</v>
      </c>
      <c r="I750" t="s">
        <v>1480</v>
      </c>
      <c r="J750" t="s">
        <v>1481</v>
      </c>
      <c r="K750" t="s">
        <v>1482</v>
      </c>
      <c r="L750" t="s">
        <v>1483</v>
      </c>
      <c r="M750">
        <v>4980</v>
      </c>
      <c r="N750" t="s">
        <v>1217</v>
      </c>
    </row>
    <row r="751" spans="1:14">
      <c r="A751">
        <v>10955</v>
      </c>
      <c r="B751" t="s">
        <v>1242</v>
      </c>
      <c r="C751">
        <v>8</v>
      </c>
      <c r="D751" s="213">
        <v>35871</v>
      </c>
      <c r="E751" s="213">
        <v>35899</v>
      </c>
      <c r="F751" s="213">
        <v>35874</v>
      </c>
      <c r="G751">
        <v>2</v>
      </c>
      <c r="H751">
        <v>3.26</v>
      </c>
      <c r="I751" t="s">
        <v>1243</v>
      </c>
      <c r="J751" t="s">
        <v>1244</v>
      </c>
      <c r="K751" t="s">
        <v>1245</v>
      </c>
      <c r="M751" t="s">
        <v>1246</v>
      </c>
      <c r="N751" t="s">
        <v>829</v>
      </c>
    </row>
    <row r="752" spans="1:14">
      <c r="A752">
        <v>10956</v>
      </c>
      <c r="B752" t="s">
        <v>1519</v>
      </c>
      <c r="C752">
        <v>6</v>
      </c>
      <c r="D752" s="213">
        <v>35871</v>
      </c>
      <c r="E752" s="213">
        <v>35913</v>
      </c>
      <c r="F752" s="213">
        <v>35874</v>
      </c>
      <c r="G752">
        <v>2</v>
      </c>
      <c r="H752">
        <v>44.65</v>
      </c>
      <c r="I752" t="s">
        <v>1520</v>
      </c>
      <c r="J752" t="s">
        <v>1521</v>
      </c>
      <c r="K752" t="s">
        <v>1522</v>
      </c>
      <c r="M752">
        <v>68306</v>
      </c>
      <c r="N752" t="s">
        <v>1184</v>
      </c>
    </row>
    <row r="753" spans="1:14">
      <c r="A753">
        <v>10957</v>
      </c>
      <c r="B753" t="s">
        <v>1212</v>
      </c>
      <c r="C753">
        <v>8</v>
      </c>
      <c r="D753" s="213">
        <v>35872</v>
      </c>
      <c r="E753" s="213">
        <v>35900</v>
      </c>
      <c r="F753" s="213">
        <v>35881</v>
      </c>
      <c r="G753">
        <v>3</v>
      </c>
      <c r="H753">
        <v>105.36</v>
      </c>
      <c r="I753" t="s">
        <v>1213</v>
      </c>
      <c r="J753" t="s">
        <v>1214</v>
      </c>
      <c r="K753" t="s">
        <v>1215</v>
      </c>
      <c r="L753" t="s">
        <v>1216</v>
      </c>
      <c r="M753">
        <v>5022</v>
      </c>
      <c r="N753" t="s">
        <v>1217</v>
      </c>
    </row>
    <row r="754" spans="1:14">
      <c r="A754">
        <v>10958</v>
      </c>
      <c r="B754" t="s">
        <v>1488</v>
      </c>
      <c r="C754">
        <v>7</v>
      </c>
      <c r="D754" s="213">
        <v>35872</v>
      </c>
      <c r="E754" s="213">
        <v>35900</v>
      </c>
      <c r="F754" s="213">
        <v>35881</v>
      </c>
      <c r="G754">
        <v>2</v>
      </c>
      <c r="H754">
        <v>49.56</v>
      </c>
      <c r="I754" t="s">
        <v>1489</v>
      </c>
      <c r="J754" t="s">
        <v>1490</v>
      </c>
    </row>
    <row r="755" spans="1:14">
      <c r="A755" t="s">
        <v>1491</v>
      </c>
      <c r="B755" t="s">
        <v>1492</v>
      </c>
      <c r="D755">
        <v>1010</v>
      </c>
      <c r="E755" t="s">
        <v>1493</v>
      </c>
    </row>
    <row r="756" spans="1:14">
      <c r="A756">
        <v>10959</v>
      </c>
      <c r="B756" t="s">
        <v>1498</v>
      </c>
      <c r="C756">
        <v>6</v>
      </c>
      <c r="D756" s="213">
        <v>35872</v>
      </c>
      <c r="E756" s="213">
        <v>35914</v>
      </c>
      <c r="F756" s="213">
        <v>35877</v>
      </c>
      <c r="G756">
        <v>2</v>
      </c>
      <c r="H756">
        <v>4.9800000000000004</v>
      </c>
      <c r="I756" t="s">
        <v>1499</v>
      </c>
      <c r="J756" t="s">
        <v>1500</v>
      </c>
      <c r="K756" t="s">
        <v>937</v>
      </c>
      <c r="L756" t="s">
        <v>38</v>
      </c>
      <c r="M756" t="s">
        <v>1501</v>
      </c>
      <c r="N756" t="s">
        <v>831</v>
      </c>
    </row>
    <row r="757" spans="1:14">
      <c r="A757">
        <v>10960</v>
      </c>
      <c r="B757" t="s">
        <v>1212</v>
      </c>
      <c r="C757">
        <v>3</v>
      </c>
      <c r="D757" s="213">
        <v>35873</v>
      </c>
      <c r="E757" s="213">
        <v>35887</v>
      </c>
      <c r="F757" s="213">
        <v>35893</v>
      </c>
      <c r="G757">
        <v>1</v>
      </c>
      <c r="H757">
        <v>2.08</v>
      </c>
      <c r="I757" t="s">
        <v>1213</v>
      </c>
      <c r="J757" t="s">
        <v>1214</v>
      </c>
      <c r="K757" t="s">
        <v>1215</v>
      </c>
      <c r="L757" t="s">
        <v>1216</v>
      </c>
      <c r="M757">
        <v>5022</v>
      </c>
      <c r="N757" t="s">
        <v>1217</v>
      </c>
    </row>
    <row r="758" spans="1:14">
      <c r="A758">
        <v>10961</v>
      </c>
      <c r="B758" t="s">
        <v>1453</v>
      </c>
      <c r="C758">
        <v>8</v>
      </c>
      <c r="D758" s="213">
        <v>35873</v>
      </c>
      <c r="E758" s="213">
        <v>35901</v>
      </c>
      <c r="F758" s="213">
        <v>35884</v>
      </c>
      <c r="G758">
        <v>1</v>
      </c>
      <c r="H758">
        <v>104.47</v>
      </c>
      <c r="I758" t="s">
        <v>1454</v>
      </c>
      <c r="J758" t="s">
        <v>1455</v>
      </c>
      <c r="K758" t="s">
        <v>983</v>
      </c>
      <c r="L758" t="s">
        <v>38</v>
      </c>
      <c r="M758" t="s">
        <v>1456</v>
      </c>
      <c r="N758" t="s">
        <v>831</v>
      </c>
    </row>
    <row r="759" spans="1:14">
      <c r="A759">
        <v>10962</v>
      </c>
      <c r="B759" t="s">
        <v>1274</v>
      </c>
      <c r="C759">
        <v>8</v>
      </c>
      <c r="D759" s="213">
        <v>35873</v>
      </c>
      <c r="E759" s="213">
        <v>35901</v>
      </c>
      <c r="F759" s="213">
        <v>35877</v>
      </c>
      <c r="G759">
        <v>2</v>
      </c>
      <c r="H759">
        <v>275.79000000000002</v>
      </c>
      <c r="I759" t="s">
        <v>1275</v>
      </c>
      <c r="J759" t="s">
        <v>1276</v>
      </c>
      <c r="K759" t="s">
        <v>1277</v>
      </c>
      <c r="M759">
        <v>1307</v>
      </c>
      <c r="N759" t="s">
        <v>1184</v>
      </c>
    </row>
    <row r="760" spans="1:14">
      <c r="A760">
        <v>10963</v>
      </c>
      <c r="B760" t="s">
        <v>1387</v>
      </c>
      <c r="C760">
        <v>9</v>
      </c>
      <c r="D760" s="213">
        <v>35873</v>
      </c>
      <c r="E760" s="213">
        <v>35901</v>
      </c>
      <c r="F760" s="213">
        <v>35880</v>
      </c>
      <c r="G760">
        <v>3</v>
      </c>
      <c r="H760">
        <v>2.7</v>
      </c>
      <c r="I760" t="s">
        <v>1388</v>
      </c>
      <c r="J760" t="s">
        <v>1389</v>
      </c>
      <c r="K760" t="s">
        <v>1390</v>
      </c>
      <c r="M760">
        <v>1675</v>
      </c>
      <c r="N760" t="s">
        <v>1391</v>
      </c>
    </row>
    <row r="761" spans="1:14">
      <c r="A761">
        <v>10964</v>
      </c>
      <c r="B761" t="s">
        <v>1566</v>
      </c>
      <c r="C761">
        <v>3</v>
      </c>
      <c r="D761" s="213">
        <v>35874</v>
      </c>
      <c r="E761" s="213">
        <v>35902</v>
      </c>
      <c r="F761" s="213">
        <v>35878</v>
      </c>
      <c r="G761">
        <v>2</v>
      </c>
      <c r="H761">
        <v>87.38</v>
      </c>
      <c r="I761" t="s">
        <v>1567</v>
      </c>
      <c r="J761" t="s">
        <v>1568</v>
      </c>
      <c r="K761" t="s">
        <v>1569</v>
      </c>
      <c r="M761">
        <v>75016</v>
      </c>
      <c r="N761" t="s">
        <v>824</v>
      </c>
    </row>
    <row r="762" spans="1:14">
      <c r="A762">
        <v>10965</v>
      </c>
      <c r="B762" t="s">
        <v>1344</v>
      </c>
      <c r="C762">
        <v>6</v>
      </c>
      <c r="D762" s="213">
        <v>35874</v>
      </c>
      <c r="E762" s="213">
        <v>35902</v>
      </c>
      <c r="F762" s="213">
        <v>35884</v>
      </c>
      <c r="G762">
        <v>3</v>
      </c>
      <c r="H762">
        <v>144.38</v>
      </c>
      <c r="I762" t="s">
        <v>1345</v>
      </c>
      <c r="J762" t="s">
        <v>1346</v>
      </c>
      <c r="K762" t="s">
        <v>1347</v>
      </c>
      <c r="L762" t="s">
        <v>1348</v>
      </c>
      <c r="M762">
        <v>99508</v>
      </c>
      <c r="N762" t="s">
        <v>1241</v>
      </c>
    </row>
    <row r="763" spans="1:14">
      <c r="A763">
        <v>10966</v>
      </c>
      <c r="B763" t="s">
        <v>1198</v>
      </c>
      <c r="C763">
        <v>4</v>
      </c>
      <c r="D763" s="213">
        <v>35874</v>
      </c>
      <c r="E763" s="213">
        <v>35902</v>
      </c>
      <c r="F763" s="213">
        <v>35893</v>
      </c>
      <c r="G763">
        <v>1</v>
      </c>
      <c r="H763">
        <v>27.19</v>
      </c>
      <c r="I763" t="s">
        <v>1199</v>
      </c>
      <c r="J763" t="s">
        <v>1200</v>
      </c>
      <c r="K763" t="s">
        <v>1201</v>
      </c>
      <c r="M763">
        <v>3012</v>
      </c>
      <c r="N763" t="s">
        <v>1202</v>
      </c>
    </row>
    <row r="764" spans="1:14">
      <c r="A764">
        <v>10967</v>
      </c>
      <c r="B764" t="s">
        <v>1180</v>
      </c>
      <c r="C764">
        <v>2</v>
      </c>
      <c r="D764" s="213">
        <v>35877</v>
      </c>
      <c r="E764" s="213">
        <v>35905</v>
      </c>
      <c r="F764" s="213">
        <v>35887</v>
      </c>
      <c r="G764">
        <v>2</v>
      </c>
      <c r="H764">
        <v>62.22</v>
      </c>
      <c r="I764" t="s">
        <v>1181</v>
      </c>
      <c r="J764" t="s">
        <v>1182</v>
      </c>
      <c r="K764" t="s">
        <v>1183</v>
      </c>
      <c r="M764">
        <v>44087</v>
      </c>
      <c r="N764" t="s">
        <v>1184</v>
      </c>
    </row>
    <row r="765" spans="1:14">
      <c r="A765">
        <v>10968</v>
      </c>
      <c r="B765" t="s">
        <v>1218</v>
      </c>
      <c r="C765">
        <v>1</v>
      </c>
      <c r="D765" s="213">
        <v>35877</v>
      </c>
      <c r="E765" s="213">
        <v>35905</v>
      </c>
      <c r="F765" s="213">
        <v>35886</v>
      </c>
      <c r="G765">
        <v>3</v>
      </c>
      <c r="H765">
        <v>74.599999999999994</v>
      </c>
      <c r="I765" t="s">
        <v>1219</v>
      </c>
      <c r="J765" t="s">
        <v>1220</v>
      </c>
      <c r="K765" t="s">
        <v>1221</v>
      </c>
      <c r="M765">
        <v>8010</v>
      </c>
      <c r="N765" t="s">
        <v>1222</v>
      </c>
    </row>
    <row r="766" spans="1:14">
      <c r="A766">
        <v>10969</v>
      </c>
      <c r="B766" t="s">
        <v>1322</v>
      </c>
      <c r="C766">
        <v>1</v>
      </c>
      <c r="D766" s="213">
        <v>35877</v>
      </c>
      <c r="E766" s="213">
        <v>35905</v>
      </c>
      <c r="F766" s="213">
        <v>35884</v>
      </c>
      <c r="G766">
        <v>2</v>
      </c>
      <c r="H766">
        <v>0.21</v>
      </c>
      <c r="I766" t="s">
        <v>1323</v>
      </c>
      <c r="J766" t="s">
        <v>1324</v>
      </c>
      <c r="K766" t="s">
        <v>983</v>
      </c>
      <c r="L766" t="s">
        <v>38</v>
      </c>
      <c r="M766" t="s">
        <v>1325</v>
      </c>
      <c r="N766" t="s">
        <v>831</v>
      </c>
    </row>
    <row r="767" spans="1:14">
      <c r="A767">
        <v>10970</v>
      </c>
      <c r="B767" t="s">
        <v>1384</v>
      </c>
      <c r="C767">
        <v>9</v>
      </c>
      <c r="D767" s="213">
        <v>35878</v>
      </c>
      <c r="E767" s="213">
        <v>35892</v>
      </c>
      <c r="F767" s="213">
        <v>35909</v>
      </c>
      <c r="G767">
        <v>1</v>
      </c>
      <c r="H767">
        <v>16.16</v>
      </c>
      <c r="I767" t="s">
        <v>1385</v>
      </c>
      <c r="J767" t="s">
        <v>1386</v>
      </c>
      <c r="K767" t="s">
        <v>1301</v>
      </c>
      <c r="M767">
        <v>28023</v>
      </c>
      <c r="N767" t="s">
        <v>1302</v>
      </c>
    </row>
    <row r="768" spans="1:14">
      <c r="A768">
        <v>10971</v>
      </c>
      <c r="B768" t="s">
        <v>1563</v>
      </c>
      <c r="C768">
        <v>2</v>
      </c>
      <c r="D768" s="213">
        <v>35878</v>
      </c>
      <c r="E768" s="213">
        <v>35906</v>
      </c>
      <c r="F768" s="213">
        <v>35887</v>
      </c>
      <c r="G768">
        <v>2</v>
      </c>
      <c r="H768">
        <v>121.82</v>
      </c>
      <c r="I768" t="s">
        <v>1564</v>
      </c>
      <c r="J768" t="s">
        <v>1565</v>
      </c>
      <c r="K768" t="s">
        <v>1364</v>
      </c>
      <c r="M768">
        <v>44000</v>
      </c>
      <c r="N768" t="s">
        <v>824</v>
      </c>
    </row>
    <row r="769" spans="1:14">
      <c r="A769">
        <v>10972</v>
      </c>
      <c r="B769" t="s">
        <v>1570</v>
      </c>
      <c r="C769">
        <v>4</v>
      </c>
      <c r="D769" s="213">
        <v>35878</v>
      </c>
      <c r="E769" s="213">
        <v>35906</v>
      </c>
      <c r="F769" s="213">
        <v>35880</v>
      </c>
      <c r="G769">
        <v>2</v>
      </c>
      <c r="H769">
        <v>0.02</v>
      </c>
      <c r="I769" t="s">
        <v>1571</v>
      </c>
      <c r="J769" t="s">
        <v>1572</v>
      </c>
      <c r="K769" t="s">
        <v>1573</v>
      </c>
      <c r="M769">
        <v>78000</v>
      </c>
      <c r="N769" t="s">
        <v>824</v>
      </c>
    </row>
    <row r="770" spans="1:14">
      <c r="A770">
        <v>10973</v>
      </c>
      <c r="B770" t="s">
        <v>1570</v>
      </c>
      <c r="C770">
        <v>6</v>
      </c>
      <c r="D770" s="213">
        <v>35878</v>
      </c>
      <c r="E770" s="213">
        <v>35906</v>
      </c>
      <c r="F770" s="213">
        <v>35881</v>
      </c>
      <c r="G770">
        <v>2</v>
      </c>
      <c r="H770">
        <v>15.17</v>
      </c>
      <c r="I770" t="s">
        <v>1571</v>
      </c>
      <c r="J770" t="s">
        <v>1572</v>
      </c>
      <c r="K770" t="s">
        <v>1573</v>
      </c>
      <c r="M770">
        <v>78000</v>
      </c>
      <c r="N770" t="s">
        <v>824</v>
      </c>
    </row>
    <row r="771" spans="1:14">
      <c r="A771">
        <v>10974</v>
      </c>
      <c r="B771" t="s">
        <v>1269</v>
      </c>
      <c r="C771">
        <v>3</v>
      </c>
      <c r="D771" s="213">
        <v>35879</v>
      </c>
      <c r="E771" s="213">
        <v>35893</v>
      </c>
      <c r="F771" s="213">
        <v>35888</v>
      </c>
      <c r="G771">
        <v>3</v>
      </c>
      <c r="H771">
        <v>12.96</v>
      </c>
      <c r="I771" t="s">
        <v>1270</v>
      </c>
      <c r="J771" t="s">
        <v>1271</v>
      </c>
      <c r="K771" t="s">
        <v>1272</v>
      </c>
      <c r="L771" t="s">
        <v>1273</v>
      </c>
      <c r="M771">
        <v>82520</v>
      </c>
      <c r="N771" t="s">
        <v>1241</v>
      </c>
    </row>
    <row r="772" spans="1:14">
      <c r="A772">
        <v>10975</v>
      </c>
      <c r="B772" t="s">
        <v>1473</v>
      </c>
      <c r="C772">
        <v>1</v>
      </c>
      <c r="D772" s="213">
        <v>35879</v>
      </c>
      <c r="E772" s="213">
        <v>35907</v>
      </c>
      <c r="F772" s="213">
        <v>35881</v>
      </c>
      <c r="G772">
        <v>3</v>
      </c>
      <c r="H772">
        <v>32.270000000000003</v>
      </c>
      <c r="I772" t="s">
        <v>1474</v>
      </c>
      <c r="J772" t="s">
        <v>1475</v>
      </c>
      <c r="K772" t="s">
        <v>1476</v>
      </c>
      <c r="L772" t="s">
        <v>1477</v>
      </c>
      <c r="M772" t="s">
        <v>1478</v>
      </c>
      <c r="N772" t="s">
        <v>1402</v>
      </c>
    </row>
    <row r="773" spans="1:14">
      <c r="A773">
        <v>10976</v>
      </c>
      <c r="B773" t="s">
        <v>1212</v>
      </c>
      <c r="C773">
        <v>1</v>
      </c>
      <c r="D773" s="213">
        <v>35879</v>
      </c>
      <c r="E773" s="213">
        <v>35921</v>
      </c>
      <c r="F773" s="213">
        <v>35888</v>
      </c>
      <c r="G773">
        <v>1</v>
      </c>
      <c r="H773">
        <v>37.97</v>
      </c>
      <c r="I773" t="s">
        <v>1213</v>
      </c>
      <c r="J773" t="s">
        <v>1214</v>
      </c>
      <c r="K773" t="s">
        <v>1215</v>
      </c>
      <c r="L773" t="s">
        <v>1216</v>
      </c>
      <c r="M773">
        <v>5022</v>
      </c>
      <c r="N773" t="s">
        <v>1217</v>
      </c>
    </row>
    <row r="774" spans="1:14">
      <c r="A774">
        <v>10977</v>
      </c>
      <c r="B774" t="s">
        <v>1242</v>
      </c>
      <c r="C774">
        <v>8</v>
      </c>
      <c r="D774" s="213">
        <v>35880</v>
      </c>
      <c r="E774" s="213">
        <v>35908</v>
      </c>
      <c r="F774" s="213">
        <v>35895</v>
      </c>
      <c r="G774">
        <v>3</v>
      </c>
      <c r="H774">
        <v>208.5</v>
      </c>
      <c r="I774" t="s">
        <v>1243</v>
      </c>
      <c r="J774" t="s">
        <v>1244</v>
      </c>
      <c r="K774" t="s">
        <v>1245</v>
      </c>
      <c r="M774" t="s">
        <v>1246</v>
      </c>
      <c r="N774" t="s">
        <v>829</v>
      </c>
    </row>
    <row r="775" spans="1:14">
      <c r="A775">
        <v>10978</v>
      </c>
      <c r="B775" t="s">
        <v>1535</v>
      </c>
      <c r="C775">
        <v>9</v>
      </c>
      <c r="D775" s="213">
        <v>35880</v>
      </c>
      <c r="E775" s="213">
        <v>35908</v>
      </c>
      <c r="F775" s="213">
        <v>35908</v>
      </c>
      <c r="G775">
        <v>2</v>
      </c>
      <c r="H775">
        <v>32.82</v>
      </c>
      <c r="I775" t="s">
        <v>1536</v>
      </c>
      <c r="J775" t="s">
        <v>1537</v>
      </c>
      <c r="K775" t="s">
        <v>1538</v>
      </c>
      <c r="M775" t="s">
        <v>1539</v>
      </c>
      <c r="N775" t="s">
        <v>833</v>
      </c>
    </row>
    <row r="776" spans="1:14">
      <c r="A776">
        <v>10979</v>
      </c>
      <c r="B776" t="s">
        <v>1218</v>
      </c>
      <c r="C776">
        <v>8</v>
      </c>
      <c r="D776" s="213">
        <v>35880</v>
      </c>
      <c r="E776" s="213">
        <v>35908</v>
      </c>
      <c r="F776" s="213">
        <v>35885</v>
      </c>
      <c r="G776">
        <v>2</v>
      </c>
      <c r="H776">
        <v>353.07</v>
      </c>
      <c r="I776" t="s">
        <v>1219</v>
      </c>
      <c r="J776" t="s">
        <v>1220</v>
      </c>
      <c r="K776" t="s">
        <v>1221</v>
      </c>
      <c r="M776">
        <v>8010</v>
      </c>
      <c r="N776" t="s">
        <v>1222</v>
      </c>
    </row>
    <row r="777" spans="1:14">
      <c r="A777">
        <v>10980</v>
      </c>
      <c r="B777" t="s">
        <v>1242</v>
      </c>
      <c r="C777">
        <v>4</v>
      </c>
      <c r="D777" s="213">
        <v>35881</v>
      </c>
      <c r="E777" s="213">
        <v>35923</v>
      </c>
      <c r="F777" s="213">
        <v>35902</v>
      </c>
      <c r="G777">
        <v>1</v>
      </c>
      <c r="H777">
        <v>1.26</v>
      </c>
      <c r="I777" t="s">
        <v>1243</v>
      </c>
      <c r="J777" t="s">
        <v>1244</v>
      </c>
      <c r="K777" t="s">
        <v>1245</v>
      </c>
      <c r="M777" t="s">
        <v>1246</v>
      </c>
      <c r="N777" t="s">
        <v>829</v>
      </c>
    </row>
    <row r="778" spans="1:14">
      <c r="A778">
        <v>10981</v>
      </c>
      <c r="B778" t="s">
        <v>1185</v>
      </c>
      <c r="C778">
        <v>1</v>
      </c>
      <c r="D778" s="213">
        <v>35881</v>
      </c>
      <c r="E778" s="213">
        <v>35909</v>
      </c>
      <c r="F778" s="213">
        <v>35887</v>
      </c>
      <c r="G778">
        <v>2</v>
      </c>
      <c r="H778">
        <v>193.37</v>
      </c>
      <c r="I778" t="s">
        <v>1186</v>
      </c>
      <c r="J778" t="s">
        <v>1187</v>
      </c>
      <c r="K778" t="s">
        <v>1158</v>
      </c>
      <c r="L778" t="s">
        <v>57</v>
      </c>
      <c r="M778" t="s">
        <v>1188</v>
      </c>
      <c r="N778" t="s">
        <v>831</v>
      </c>
    </row>
    <row r="779" spans="1:14">
      <c r="A779">
        <v>10982</v>
      </c>
      <c r="B779" t="s">
        <v>1473</v>
      </c>
      <c r="C779">
        <v>2</v>
      </c>
      <c r="D779" s="213">
        <v>35881</v>
      </c>
      <c r="E779" s="213">
        <v>35909</v>
      </c>
      <c r="F779" s="213">
        <v>35893</v>
      </c>
      <c r="G779">
        <v>1</v>
      </c>
      <c r="H779">
        <v>14.01</v>
      </c>
      <c r="I779" t="s">
        <v>1474</v>
      </c>
      <c r="J779" t="s">
        <v>1475</v>
      </c>
      <c r="K779" t="s">
        <v>1476</v>
      </c>
      <c r="L779" t="s">
        <v>1477</v>
      </c>
      <c r="M779" t="s">
        <v>1478</v>
      </c>
      <c r="N779" t="s">
        <v>1402</v>
      </c>
    </row>
    <row r="780" spans="1:14">
      <c r="A780">
        <v>10983</v>
      </c>
      <c r="B780" t="s">
        <v>1379</v>
      </c>
      <c r="C780">
        <v>2</v>
      </c>
      <c r="D780" s="213">
        <v>35881</v>
      </c>
      <c r="E780" s="213">
        <v>35909</v>
      </c>
      <c r="F780" s="213">
        <v>35891</v>
      </c>
      <c r="G780">
        <v>2</v>
      </c>
      <c r="H780">
        <v>657.54</v>
      </c>
      <c r="I780" t="s">
        <v>1380</v>
      </c>
      <c r="J780" t="s">
        <v>1381</v>
      </c>
      <c r="K780" t="s">
        <v>1382</v>
      </c>
      <c r="L780" t="s">
        <v>1383</v>
      </c>
      <c r="M780">
        <v>83720</v>
      </c>
      <c r="N780" t="s">
        <v>1241</v>
      </c>
    </row>
    <row r="781" spans="1:14">
      <c r="A781">
        <v>10984</v>
      </c>
      <c r="B781" t="s">
        <v>1379</v>
      </c>
      <c r="C781">
        <v>1</v>
      </c>
      <c r="D781" s="213">
        <v>35884</v>
      </c>
      <c r="E781" s="213">
        <v>35912</v>
      </c>
      <c r="F781" s="213">
        <v>35888</v>
      </c>
      <c r="G781">
        <v>3</v>
      </c>
      <c r="H781">
        <v>211.22</v>
      </c>
      <c r="I781" t="s">
        <v>1380</v>
      </c>
      <c r="J781" t="s">
        <v>1381</v>
      </c>
      <c r="K781" t="s">
        <v>1382</v>
      </c>
      <c r="L781" t="s">
        <v>1383</v>
      </c>
      <c r="M781">
        <v>83720</v>
      </c>
      <c r="N781" t="s">
        <v>1241</v>
      </c>
    </row>
    <row r="782" spans="1:14">
      <c r="A782">
        <v>10985</v>
      </c>
      <c r="B782" t="s">
        <v>1330</v>
      </c>
      <c r="C782">
        <v>2</v>
      </c>
      <c r="D782" s="213">
        <v>35884</v>
      </c>
      <c r="E782" s="213">
        <v>35912</v>
      </c>
      <c r="F782" s="213">
        <v>35887</v>
      </c>
      <c r="G782">
        <v>1</v>
      </c>
      <c r="H782">
        <v>91.51</v>
      </c>
      <c r="I782" t="s">
        <v>1331</v>
      </c>
      <c r="J782" t="s">
        <v>1332</v>
      </c>
      <c r="K782" t="s">
        <v>1333</v>
      </c>
      <c r="L782" t="s">
        <v>1334</v>
      </c>
      <c r="N782" t="s">
        <v>1335</v>
      </c>
    </row>
    <row r="783" spans="1:14">
      <c r="A783">
        <v>10986</v>
      </c>
      <c r="B783" t="s">
        <v>1488</v>
      </c>
      <c r="C783">
        <v>8</v>
      </c>
      <c r="D783" s="213">
        <v>35884</v>
      </c>
      <c r="E783" s="213">
        <v>35912</v>
      </c>
      <c r="F783" s="213">
        <v>35906</v>
      </c>
      <c r="G783">
        <v>2</v>
      </c>
      <c r="H783">
        <v>217.86</v>
      </c>
      <c r="I783" t="s">
        <v>1489</v>
      </c>
      <c r="J783" t="s">
        <v>1490</v>
      </c>
    </row>
    <row r="784" spans="1:14">
      <c r="A784" t="s">
        <v>1491</v>
      </c>
      <c r="B784" t="s">
        <v>1492</v>
      </c>
      <c r="D784">
        <v>1010</v>
      </c>
      <c r="E784" t="s">
        <v>1493</v>
      </c>
    </row>
    <row r="785" spans="1:14">
      <c r="A785">
        <v>10987</v>
      </c>
      <c r="B785" t="s">
        <v>1438</v>
      </c>
      <c r="C785">
        <v>8</v>
      </c>
      <c r="D785" s="213">
        <v>35885</v>
      </c>
      <c r="E785" s="213">
        <v>35913</v>
      </c>
      <c r="F785" s="213">
        <v>35891</v>
      </c>
      <c r="G785">
        <v>1</v>
      </c>
      <c r="H785">
        <v>185.48</v>
      </c>
      <c r="I785" t="s">
        <v>1439</v>
      </c>
      <c r="J785" t="s">
        <v>1440</v>
      </c>
      <c r="K785" t="s">
        <v>1319</v>
      </c>
      <c r="M785" t="s">
        <v>1441</v>
      </c>
      <c r="N785" t="s">
        <v>1321</v>
      </c>
    </row>
    <row r="786" spans="1:14">
      <c r="A786">
        <v>10988</v>
      </c>
      <c r="B786" t="s">
        <v>1236</v>
      </c>
      <c r="C786">
        <v>3</v>
      </c>
      <c r="D786" s="213">
        <v>35885</v>
      </c>
      <c r="E786" s="213">
        <v>35913</v>
      </c>
      <c r="F786" s="213">
        <v>35895</v>
      </c>
      <c r="G786">
        <v>2</v>
      </c>
      <c r="H786">
        <v>61.14</v>
      </c>
      <c r="I786" t="s">
        <v>1237</v>
      </c>
      <c r="J786" t="s">
        <v>1238</v>
      </c>
      <c r="K786" t="s">
        <v>1239</v>
      </c>
      <c r="L786" t="s">
        <v>1240</v>
      </c>
      <c r="M786">
        <v>87110</v>
      </c>
      <c r="N786" t="s">
        <v>1241</v>
      </c>
    </row>
    <row r="787" spans="1:14">
      <c r="A787">
        <v>10989</v>
      </c>
      <c r="B787" t="s">
        <v>1232</v>
      </c>
      <c r="C787">
        <v>2</v>
      </c>
      <c r="D787" s="213">
        <v>35885</v>
      </c>
      <c r="E787" s="213">
        <v>35913</v>
      </c>
      <c r="F787" s="213">
        <v>35887</v>
      </c>
      <c r="G787">
        <v>1</v>
      </c>
      <c r="H787">
        <v>34.76</v>
      </c>
      <c r="I787" t="s">
        <v>1233</v>
      </c>
      <c r="J787" t="s">
        <v>1234</v>
      </c>
      <c r="K787" t="s">
        <v>1158</v>
      </c>
      <c r="L787" t="s">
        <v>57</v>
      </c>
      <c r="M787" t="s">
        <v>1235</v>
      </c>
      <c r="N787" t="s">
        <v>831</v>
      </c>
    </row>
    <row r="788" spans="1:14">
      <c r="A788">
        <v>10990</v>
      </c>
      <c r="B788" t="s">
        <v>1218</v>
      </c>
      <c r="C788">
        <v>2</v>
      </c>
      <c r="D788" s="213">
        <v>35886</v>
      </c>
      <c r="E788" s="213">
        <v>35928</v>
      </c>
      <c r="F788" s="213">
        <v>35892</v>
      </c>
      <c r="G788">
        <v>3</v>
      </c>
      <c r="H788">
        <v>117.61</v>
      </c>
      <c r="I788" t="s">
        <v>1219</v>
      </c>
      <c r="J788" t="s">
        <v>1220</v>
      </c>
      <c r="K788" t="s">
        <v>1221</v>
      </c>
      <c r="M788">
        <v>8010</v>
      </c>
      <c r="N788" t="s">
        <v>1222</v>
      </c>
    </row>
    <row r="789" spans="1:14">
      <c r="A789">
        <v>10991</v>
      </c>
      <c r="B789" t="s">
        <v>1274</v>
      </c>
      <c r="C789">
        <v>1</v>
      </c>
      <c r="D789" s="213">
        <v>35886</v>
      </c>
      <c r="E789" s="213">
        <v>35914</v>
      </c>
      <c r="F789" s="213">
        <v>35892</v>
      </c>
      <c r="G789">
        <v>1</v>
      </c>
      <c r="H789">
        <v>38.51</v>
      </c>
      <c r="I789" t="s">
        <v>1275</v>
      </c>
      <c r="J789" t="s">
        <v>1276</v>
      </c>
      <c r="K789" t="s">
        <v>1277</v>
      </c>
      <c r="M789">
        <v>1307</v>
      </c>
      <c r="N789" t="s">
        <v>1184</v>
      </c>
    </row>
    <row r="790" spans="1:14">
      <c r="A790">
        <v>10992</v>
      </c>
      <c r="B790" t="s">
        <v>1357</v>
      </c>
      <c r="C790">
        <v>1</v>
      </c>
      <c r="D790" s="213">
        <v>35886</v>
      </c>
      <c r="E790" s="213">
        <v>35914</v>
      </c>
      <c r="F790" s="213">
        <v>35888</v>
      </c>
      <c r="G790">
        <v>3</v>
      </c>
      <c r="H790">
        <v>4.2699999999999996</v>
      </c>
      <c r="I790" t="s">
        <v>1358</v>
      </c>
      <c r="J790" t="s">
        <v>1359</v>
      </c>
    </row>
    <row r="791" spans="1:14">
      <c r="A791" t="s">
        <v>1360</v>
      </c>
      <c r="B791" t="s">
        <v>1352</v>
      </c>
      <c r="C791" t="s">
        <v>1353</v>
      </c>
      <c r="D791">
        <v>97201</v>
      </c>
      <c r="E791" t="s">
        <v>1241</v>
      </c>
    </row>
    <row r="792" spans="1:14">
      <c r="A792">
        <v>10993</v>
      </c>
      <c r="B792" t="s">
        <v>1242</v>
      </c>
      <c r="C792">
        <v>7</v>
      </c>
      <c r="D792" s="213">
        <v>35886</v>
      </c>
      <c r="E792" s="213">
        <v>35914</v>
      </c>
      <c r="F792" s="213">
        <v>35895</v>
      </c>
      <c r="G792">
        <v>3</v>
      </c>
      <c r="H792">
        <v>8.81</v>
      </c>
      <c r="I792" t="s">
        <v>1243</v>
      </c>
      <c r="J792" t="s">
        <v>1244</v>
      </c>
      <c r="K792" t="s">
        <v>1245</v>
      </c>
      <c r="M792" t="s">
        <v>1246</v>
      </c>
      <c r="N792" t="s">
        <v>829</v>
      </c>
    </row>
    <row r="793" spans="1:14">
      <c r="A793">
        <v>10994</v>
      </c>
      <c r="B793" t="s">
        <v>1449</v>
      </c>
      <c r="C793">
        <v>2</v>
      </c>
      <c r="D793" s="213">
        <v>35887</v>
      </c>
      <c r="E793" s="213">
        <v>35901</v>
      </c>
      <c r="F793" s="213">
        <v>35894</v>
      </c>
      <c r="G793">
        <v>3</v>
      </c>
      <c r="H793">
        <v>65.53</v>
      </c>
      <c r="I793" t="s">
        <v>1450</v>
      </c>
      <c r="J793" t="s">
        <v>1451</v>
      </c>
      <c r="K793" t="s">
        <v>1452</v>
      </c>
      <c r="M793">
        <v>8200</v>
      </c>
      <c r="N793" t="s">
        <v>1410</v>
      </c>
    </row>
    <row r="794" spans="1:14">
      <c r="A794">
        <v>10995</v>
      </c>
      <c r="B794" t="s">
        <v>1372</v>
      </c>
      <c r="C794">
        <v>1</v>
      </c>
      <c r="D794" s="213">
        <v>35887</v>
      </c>
      <c r="E794" s="213">
        <v>35915</v>
      </c>
      <c r="F794" s="213">
        <v>35891</v>
      </c>
      <c r="G794">
        <v>3</v>
      </c>
      <c r="H794">
        <v>46</v>
      </c>
      <c r="I794" t="s">
        <v>1373</v>
      </c>
      <c r="J794" t="s">
        <v>1374</v>
      </c>
      <c r="K794" t="s">
        <v>1226</v>
      </c>
      <c r="M794">
        <v>5033</v>
      </c>
      <c r="N794" t="s">
        <v>1227</v>
      </c>
    </row>
    <row r="795" spans="1:14">
      <c r="A795">
        <v>10996</v>
      </c>
      <c r="B795" t="s">
        <v>1274</v>
      </c>
      <c r="C795">
        <v>4</v>
      </c>
      <c r="D795" s="213">
        <v>35887</v>
      </c>
      <c r="E795" s="213">
        <v>35915</v>
      </c>
      <c r="F795" s="213">
        <v>35895</v>
      </c>
      <c r="G795">
        <v>2</v>
      </c>
      <c r="H795">
        <v>1.1200000000000001</v>
      </c>
      <c r="I795" t="s">
        <v>1275</v>
      </c>
      <c r="J795" t="s">
        <v>1276</v>
      </c>
      <c r="K795" t="s">
        <v>1277</v>
      </c>
      <c r="M795">
        <v>1307</v>
      </c>
      <c r="N795" t="s">
        <v>1184</v>
      </c>
    </row>
    <row r="796" spans="1:14">
      <c r="A796">
        <v>10997</v>
      </c>
      <c r="B796" t="s">
        <v>1303</v>
      </c>
      <c r="C796">
        <v>8</v>
      </c>
      <c r="D796" s="213">
        <v>35888</v>
      </c>
      <c r="E796" s="213">
        <v>35930</v>
      </c>
      <c r="F796" s="213">
        <v>35898</v>
      </c>
      <c r="G796">
        <v>2</v>
      </c>
      <c r="H796">
        <v>73.91</v>
      </c>
      <c r="I796" t="s">
        <v>1304</v>
      </c>
      <c r="J796" t="s">
        <v>1305</v>
      </c>
      <c r="K796" t="s">
        <v>1306</v>
      </c>
      <c r="L796" t="s">
        <v>1307</v>
      </c>
      <c r="M796">
        <v>3508</v>
      </c>
      <c r="N796" t="s">
        <v>1217</v>
      </c>
    </row>
    <row r="797" spans="1:14">
      <c r="A797">
        <v>10998</v>
      </c>
      <c r="B797" t="s">
        <v>1457</v>
      </c>
      <c r="C797">
        <v>8</v>
      </c>
      <c r="D797" s="213">
        <v>35888</v>
      </c>
      <c r="E797" s="213">
        <v>35902</v>
      </c>
      <c r="F797" s="213">
        <v>35902</v>
      </c>
      <c r="G797">
        <v>2</v>
      </c>
      <c r="H797">
        <v>20.309999999999999</v>
      </c>
      <c r="I797" t="s">
        <v>1458</v>
      </c>
      <c r="J797" t="s">
        <v>1459</v>
      </c>
      <c r="K797" t="s">
        <v>1460</v>
      </c>
      <c r="M797" t="s">
        <v>1461</v>
      </c>
      <c r="N797" t="s">
        <v>1462</v>
      </c>
    </row>
    <row r="798" spans="1:14">
      <c r="A798">
        <v>10999</v>
      </c>
      <c r="B798" t="s">
        <v>1228</v>
      </c>
      <c r="C798">
        <v>6</v>
      </c>
      <c r="D798" s="213">
        <v>35888</v>
      </c>
      <c r="E798" s="213">
        <v>35916</v>
      </c>
      <c r="F798" s="213">
        <v>35895</v>
      </c>
      <c r="G798">
        <v>2</v>
      </c>
      <c r="H798">
        <v>96.35</v>
      </c>
      <c r="I798" t="s">
        <v>1229</v>
      </c>
      <c r="J798" t="s">
        <v>1230</v>
      </c>
      <c r="K798" t="s">
        <v>1231</v>
      </c>
      <c r="M798">
        <v>50739</v>
      </c>
      <c r="N798" t="s">
        <v>1184</v>
      </c>
    </row>
    <row r="799" spans="1:14">
      <c r="A799">
        <v>11000</v>
      </c>
      <c r="B799" t="s">
        <v>1236</v>
      </c>
      <c r="C799">
        <v>2</v>
      </c>
      <c r="D799" s="213">
        <v>35891</v>
      </c>
      <c r="E799" s="213">
        <v>35919</v>
      </c>
      <c r="F799" s="213">
        <v>35899</v>
      </c>
      <c r="G799">
        <v>3</v>
      </c>
      <c r="H799">
        <v>55.12</v>
      </c>
      <c r="I799" t="s">
        <v>1237</v>
      </c>
      <c r="J799" t="s">
        <v>1238</v>
      </c>
      <c r="K799" t="s">
        <v>1239</v>
      </c>
      <c r="L799" t="s">
        <v>1240</v>
      </c>
      <c r="M799">
        <v>87110</v>
      </c>
      <c r="N799" t="s">
        <v>1241</v>
      </c>
    </row>
    <row r="800" spans="1:14">
      <c r="A800">
        <v>11001</v>
      </c>
      <c r="B800" t="s">
        <v>1242</v>
      </c>
      <c r="C800">
        <v>2</v>
      </c>
      <c r="D800" s="213">
        <v>35891</v>
      </c>
      <c r="E800" s="213">
        <v>35919</v>
      </c>
      <c r="F800" s="213">
        <v>35899</v>
      </c>
      <c r="G800">
        <v>2</v>
      </c>
      <c r="H800">
        <v>197.3</v>
      </c>
      <c r="I800" t="s">
        <v>1243</v>
      </c>
      <c r="J800" t="s">
        <v>1244</v>
      </c>
      <c r="K800" t="s">
        <v>1245</v>
      </c>
      <c r="M800" t="s">
        <v>1246</v>
      </c>
      <c r="N800" t="s">
        <v>829</v>
      </c>
    </row>
    <row r="801" spans="1:14">
      <c r="A801">
        <v>11002</v>
      </c>
      <c r="B801" t="s">
        <v>1379</v>
      </c>
      <c r="C801">
        <v>4</v>
      </c>
      <c r="D801" s="213">
        <v>35891</v>
      </c>
      <c r="E801" s="213">
        <v>35919</v>
      </c>
      <c r="F801" s="213">
        <v>35901</v>
      </c>
      <c r="G801">
        <v>1</v>
      </c>
      <c r="H801">
        <v>141.16</v>
      </c>
      <c r="I801" t="s">
        <v>1380</v>
      </c>
      <c r="J801" t="s">
        <v>1381</v>
      </c>
      <c r="K801" t="s">
        <v>1382</v>
      </c>
      <c r="L801" t="s">
        <v>1383</v>
      </c>
      <c r="M801">
        <v>83720</v>
      </c>
      <c r="N801" t="s">
        <v>1241</v>
      </c>
    </row>
    <row r="802" spans="1:14">
      <c r="A802">
        <v>11003</v>
      </c>
      <c r="B802" t="s">
        <v>1554</v>
      </c>
      <c r="C802">
        <v>3</v>
      </c>
      <c r="D802" s="213">
        <v>35891</v>
      </c>
      <c r="E802" s="213">
        <v>35919</v>
      </c>
      <c r="F802" s="213">
        <v>35893</v>
      </c>
      <c r="G802">
        <v>3</v>
      </c>
      <c r="H802">
        <v>14.91</v>
      </c>
      <c r="I802" t="s">
        <v>1555</v>
      </c>
      <c r="J802" t="s">
        <v>1556</v>
      </c>
      <c r="K802" t="s">
        <v>1557</v>
      </c>
      <c r="L802" t="s">
        <v>1558</v>
      </c>
      <c r="M802">
        <v>59801</v>
      </c>
      <c r="N802" t="s">
        <v>1241</v>
      </c>
    </row>
    <row r="803" spans="1:14">
      <c r="A803">
        <v>11004</v>
      </c>
      <c r="B803" t="s">
        <v>1535</v>
      </c>
      <c r="C803">
        <v>3</v>
      </c>
      <c r="D803" s="213">
        <v>35892</v>
      </c>
      <c r="E803" s="213">
        <v>35920</v>
      </c>
      <c r="F803" s="213">
        <v>35905</v>
      </c>
      <c r="G803">
        <v>1</v>
      </c>
      <c r="H803">
        <v>44.84</v>
      </c>
      <c r="I803" t="s">
        <v>1536</v>
      </c>
      <c r="J803" t="s">
        <v>1537</v>
      </c>
      <c r="K803" t="s">
        <v>1538</v>
      </c>
      <c r="M803" t="s">
        <v>1539</v>
      </c>
      <c r="N803" t="s">
        <v>833</v>
      </c>
    </row>
    <row r="804" spans="1:14">
      <c r="A804">
        <v>11005</v>
      </c>
      <c r="B804" t="s">
        <v>1550</v>
      </c>
      <c r="C804">
        <v>2</v>
      </c>
      <c r="D804" s="213">
        <v>35892</v>
      </c>
      <c r="E804" s="213">
        <v>35920</v>
      </c>
      <c r="F804" s="213">
        <v>35895</v>
      </c>
      <c r="G804">
        <v>1</v>
      </c>
      <c r="H804">
        <v>0.75</v>
      </c>
      <c r="I804" t="s">
        <v>1551</v>
      </c>
      <c r="J804" t="s">
        <v>1552</v>
      </c>
      <c r="K804" t="s">
        <v>1553</v>
      </c>
      <c r="M804">
        <v>21240</v>
      </c>
      <c r="N804" t="s">
        <v>1255</v>
      </c>
    </row>
    <row r="805" spans="1:14">
      <c r="A805">
        <v>11006</v>
      </c>
      <c r="B805" t="s">
        <v>1531</v>
      </c>
      <c r="C805">
        <v>3</v>
      </c>
      <c r="D805" s="213">
        <v>35892</v>
      </c>
      <c r="E805" s="213">
        <v>35920</v>
      </c>
      <c r="F805" s="213">
        <v>35900</v>
      </c>
      <c r="G805">
        <v>2</v>
      </c>
      <c r="H805">
        <v>25.19</v>
      </c>
      <c r="I805" t="s">
        <v>1532</v>
      </c>
      <c r="J805" t="s">
        <v>1533</v>
      </c>
      <c r="K805" t="s">
        <v>1534</v>
      </c>
      <c r="L805" t="s">
        <v>1353</v>
      </c>
      <c r="M805">
        <v>97403</v>
      </c>
      <c r="N805" t="s">
        <v>1241</v>
      </c>
    </row>
    <row r="806" spans="1:14">
      <c r="A806">
        <v>11007</v>
      </c>
      <c r="B806" t="s">
        <v>1403</v>
      </c>
      <c r="C806">
        <v>8</v>
      </c>
      <c r="D806" s="213">
        <v>35893</v>
      </c>
      <c r="E806" s="213">
        <v>35921</v>
      </c>
      <c r="F806" s="213">
        <v>35898</v>
      </c>
      <c r="G806">
        <v>2</v>
      </c>
      <c r="H806">
        <v>202.24</v>
      </c>
      <c r="I806" t="s">
        <v>1404</v>
      </c>
      <c r="J806" t="s">
        <v>1405</v>
      </c>
      <c r="K806" t="s">
        <v>1390</v>
      </c>
      <c r="M806">
        <v>1756</v>
      </c>
      <c r="N806" t="s">
        <v>1391</v>
      </c>
    </row>
    <row r="807" spans="1:14">
      <c r="A807">
        <v>11008</v>
      </c>
      <c r="B807" t="s">
        <v>1218</v>
      </c>
      <c r="C807">
        <v>7</v>
      </c>
      <c r="D807" s="213">
        <v>35893</v>
      </c>
      <c r="E807" s="213">
        <v>35921</v>
      </c>
      <c r="G807">
        <v>3</v>
      </c>
      <c r="H807">
        <v>79.459999999999994</v>
      </c>
      <c r="I807" t="s">
        <v>1219</v>
      </c>
      <c r="J807" t="s">
        <v>1220</v>
      </c>
      <c r="K807" t="s">
        <v>1221</v>
      </c>
      <c r="M807">
        <v>8010</v>
      </c>
      <c r="N807" t="s">
        <v>1222</v>
      </c>
    </row>
    <row r="808" spans="1:14">
      <c r="A808">
        <v>11009</v>
      </c>
      <c r="B808" t="s">
        <v>1340</v>
      </c>
      <c r="C808">
        <v>2</v>
      </c>
      <c r="D808" s="213">
        <v>35893</v>
      </c>
      <c r="E808" s="213">
        <v>35921</v>
      </c>
      <c r="F808" s="213">
        <v>35895</v>
      </c>
      <c r="G808">
        <v>1</v>
      </c>
      <c r="H808">
        <v>59.11</v>
      </c>
      <c r="I808" t="s">
        <v>1341</v>
      </c>
      <c r="J808" t="s">
        <v>1342</v>
      </c>
      <c r="K808" t="s">
        <v>1343</v>
      </c>
      <c r="M808">
        <v>41101</v>
      </c>
      <c r="N808" t="s">
        <v>1302</v>
      </c>
    </row>
    <row r="809" spans="1:14">
      <c r="A809">
        <v>11010</v>
      </c>
      <c r="B809" t="s">
        <v>1312</v>
      </c>
      <c r="C809">
        <v>2</v>
      </c>
      <c r="D809" s="213">
        <v>35894</v>
      </c>
      <c r="E809" s="213">
        <v>35922</v>
      </c>
      <c r="F809" s="213">
        <v>35906</v>
      </c>
      <c r="G809">
        <v>2</v>
      </c>
      <c r="H809">
        <v>28.71</v>
      </c>
      <c r="I809" t="s">
        <v>1313</v>
      </c>
      <c r="J809" t="s">
        <v>1314</v>
      </c>
      <c r="K809" t="s">
        <v>1315</v>
      </c>
      <c r="M809">
        <v>42100</v>
      </c>
      <c r="N809" t="s">
        <v>827</v>
      </c>
    </row>
    <row r="810" spans="1:14">
      <c r="A810">
        <v>11011</v>
      </c>
      <c r="B810" t="s">
        <v>1559</v>
      </c>
      <c r="C810">
        <v>3</v>
      </c>
      <c r="D810" s="213">
        <v>35894</v>
      </c>
      <c r="E810" s="213">
        <v>35922</v>
      </c>
      <c r="F810" s="213">
        <v>35898</v>
      </c>
      <c r="G810">
        <v>1</v>
      </c>
      <c r="H810">
        <v>1.21</v>
      </c>
      <c r="I810" t="s">
        <v>1560</v>
      </c>
      <c r="J810" t="s">
        <v>1561</v>
      </c>
      <c r="K810" t="s">
        <v>1562</v>
      </c>
      <c r="M810">
        <v>12209</v>
      </c>
      <c r="N810" t="s">
        <v>1184</v>
      </c>
    </row>
    <row r="811" spans="1:14">
      <c r="A811">
        <v>11012</v>
      </c>
      <c r="B811" t="s">
        <v>1256</v>
      </c>
      <c r="C811">
        <v>1</v>
      </c>
      <c r="D811" s="213">
        <v>35894</v>
      </c>
      <c r="E811" s="213">
        <v>35908</v>
      </c>
      <c r="F811" s="213">
        <v>35902</v>
      </c>
      <c r="G811">
        <v>3</v>
      </c>
      <c r="H811">
        <v>242.95</v>
      </c>
      <c r="I811" t="s">
        <v>1257</v>
      </c>
      <c r="J811" t="s">
        <v>1258</v>
      </c>
      <c r="K811" t="s">
        <v>1259</v>
      </c>
      <c r="M811">
        <v>80805</v>
      </c>
      <c r="N811" t="s">
        <v>1184</v>
      </c>
    </row>
    <row r="812" spans="1:14">
      <c r="A812">
        <v>11013</v>
      </c>
      <c r="B812" t="s">
        <v>1298</v>
      </c>
      <c r="C812">
        <v>2</v>
      </c>
      <c r="D812" s="213">
        <v>35894</v>
      </c>
      <c r="E812" s="213">
        <v>35922</v>
      </c>
      <c r="F812" s="213">
        <v>35895</v>
      </c>
      <c r="G812">
        <v>1</v>
      </c>
      <c r="H812">
        <v>32.99</v>
      </c>
      <c r="I812" t="s">
        <v>1299</v>
      </c>
      <c r="J812" t="s">
        <v>1300</v>
      </c>
      <c r="K812" t="s">
        <v>1301</v>
      </c>
      <c r="M812">
        <v>28001</v>
      </c>
      <c r="N812" t="s">
        <v>1302</v>
      </c>
    </row>
    <row r="813" spans="1:14">
      <c r="A813">
        <v>11014</v>
      </c>
      <c r="B813" t="s">
        <v>1479</v>
      </c>
      <c r="C813">
        <v>2</v>
      </c>
      <c r="D813" s="213">
        <v>35895</v>
      </c>
      <c r="E813" s="213">
        <v>35923</v>
      </c>
      <c r="F813" s="213">
        <v>35900</v>
      </c>
      <c r="G813">
        <v>3</v>
      </c>
      <c r="H813">
        <v>23.6</v>
      </c>
      <c r="I813" t="s">
        <v>1480</v>
      </c>
      <c r="J813" t="s">
        <v>1481</v>
      </c>
      <c r="K813" t="s">
        <v>1482</v>
      </c>
      <c r="L813" t="s">
        <v>1483</v>
      </c>
      <c r="M813">
        <v>4980</v>
      </c>
      <c r="N813" t="s">
        <v>1217</v>
      </c>
    </row>
    <row r="814" spans="1:14">
      <c r="A814">
        <v>11015</v>
      </c>
      <c r="B814" t="s">
        <v>1468</v>
      </c>
      <c r="C814">
        <v>2</v>
      </c>
      <c r="D814" s="213">
        <v>35895</v>
      </c>
      <c r="E814" s="213">
        <v>35909</v>
      </c>
      <c r="F814" s="213">
        <v>35905</v>
      </c>
      <c r="G814">
        <v>2</v>
      </c>
      <c r="H814">
        <v>4.62</v>
      </c>
      <c r="I814" t="s">
        <v>1469</v>
      </c>
      <c r="J814" t="s">
        <v>1470</v>
      </c>
      <c r="K814" t="s">
        <v>1471</v>
      </c>
      <c r="M814">
        <v>4110</v>
      </c>
      <c r="N814" t="s">
        <v>1472</v>
      </c>
    </row>
    <row r="815" spans="1:14">
      <c r="A815">
        <v>11016</v>
      </c>
      <c r="B815" t="s">
        <v>1423</v>
      </c>
      <c r="C815">
        <v>9</v>
      </c>
      <c r="D815" s="213">
        <v>35895</v>
      </c>
      <c r="E815" s="213">
        <v>35923</v>
      </c>
      <c r="F815" s="213">
        <v>35898</v>
      </c>
      <c r="G815">
        <v>2</v>
      </c>
      <c r="H815">
        <v>33.799999999999997</v>
      </c>
      <c r="I815" t="s">
        <v>1424</v>
      </c>
      <c r="J815" t="s">
        <v>1425</v>
      </c>
    </row>
    <row r="816" spans="1:14">
      <c r="A816" t="s">
        <v>1426</v>
      </c>
      <c r="B816" t="s">
        <v>1427</v>
      </c>
      <c r="C816" t="s">
        <v>1428</v>
      </c>
      <c r="D816" t="s">
        <v>1429</v>
      </c>
      <c r="E816" t="s">
        <v>1321</v>
      </c>
    </row>
    <row r="817" spans="1:14">
      <c r="A817">
        <v>11017</v>
      </c>
      <c r="B817" t="s">
        <v>1218</v>
      </c>
      <c r="C817">
        <v>9</v>
      </c>
      <c r="D817" s="213">
        <v>35898</v>
      </c>
      <c r="E817" s="213">
        <v>35926</v>
      </c>
      <c r="F817" s="213">
        <v>35905</v>
      </c>
      <c r="G817">
        <v>2</v>
      </c>
      <c r="H817">
        <v>754.26</v>
      </c>
      <c r="I817" t="s">
        <v>1219</v>
      </c>
      <c r="J817" t="s">
        <v>1220</v>
      </c>
      <c r="K817" t="s">
        <v>1221</v>
      </c>
      <c r="M817">
        <v>8010</v>
      </c>
      <c r="N817" t="s">
        <v>1222</v>
      </c>
    </row>
    <row r="818" spans="1:14">
      <c r="A818">
        <v>11018</v>
      </c>
      <c r="B818" t="s">
        <v>1349</v>
      </c>
      <c r="C818">
        <v>4</v>
      </c>
      <c r="D818" s="213">
        <v>35898</v>
      </c>
      <c r="E818" s="213">
        <v>35926</v>
      </c>
      <c r="F818" s="213">
        <v>35901</v>
      </c>
      <c r="G818">
        <v>2</v>
      </c>
      <c r="H818">
        <v>11.65</v>
      </c>
      <c r="I818" t="s">
        <v>1350</v>
      </c>
      <c r="J818" t="s">
        <v>1351</v>
      </c>
      <c r="K818" t="s">
        <v>1352</v>
      </c>
      <c r="L818" t="s">
        <v>1353</v>
      </c>
      <c r="M818">
        <v>97219</v>
      </c>
      <c r="N818" t="s">
        <v>1241</v>
      </c>
    </row>
    <row r="819" spans="1:14">
      <c r="A819">
        <v>11019</v>
      </c>
      <c r="B819" t="s">
        <v>1507</v>
      </c>
      <c r="C819">
        <v>6</v>
      </c>
      <c r="D819" s="213">
        <v>35898</v>
      </c>
      <c r="E819" s="213">
        <v>35926</v>
      </c>
      <c r="G819">
        <v>3</v>
      </c>
      <c r="H819">
        <v>3.17</v>
      </c>
      <c r="I819" t="s">
        <v>1508</v>
      </c>
      <c r="J819" t="s">
        <v>1509</v>
      </c>
      <c r="K819" t="s">
        <v>1492</v>
      </c>
      <c r="M819">
        <v>1010</v>
      </c>
      <c r="N819" t="s">
        <v>1493</v>
      </c>
    </row>
    <row r="820" spans="1:14">
      <c r="A820">
        <v>11020</v>
      </c>
      <c r="B820" t="s">
        <v>1228</v>
      </c>
      <c r="C820">
        <v>2</v>
      </c>
      <c r="D820" s="213">
        <v>35899</v>
      </c>
      <c r="E820" s="213">
        <v>35927</v>
      </c>
      <c r="F820" s="213">
        <v>35901</v>
      </c>
      <c r="G820">
        <v>2</v>
      </c>
      <c r="H820">
        <v>43.3</v>
      </c>
      <c r="I820" t="s">
        <v>1229</v>
      </c>
      <c r="J820" t="s">
        <v>1230</v>
      </c>
      <c r="K820" t="s">
        <v>1231</v>
      </c>
      <c r="M820">
        <v>50739</v>
      </c>
      <c r="N820" t="s">
        <v>1184</v>
      </c>
    </row>
    <row r="821" spans="1:14">
      <c r="A821">
        <v>11021</v>
      </c>
      <c r="B821" t="s">
        <v>1274</v>
      </c>
      <c r="C821">
        <v>3</v>
      </c>
      <c r="D821" s="213">
        <v>35899</v>
      </c>
      <c r="E821" s="213">
        <v>35927</v>
      </c>
      <c r="F821" s="213">
        <v>35906</v>
      </c>
      <c r="G821">
        <v>1</v>
      </c>
      <c r="H821">
        <v>297.18</v>
      </c>
      <c r="I821" t="s">
        <v>1275</v>
      </c>
      <c r="J821" t="s">
        <v>1276</v>
      </c>
      <c r="K821" t="s">
        <v>1277</v>
      </c>
      <c r="M821">
        <v>1307</v>
      </c>
      <c r="N821" t="s">
        <v>1184</v>
      </c>
    </row>
    <row r="822" spans="1:14">
      <c r="A822">
        <v>11022</v>
      </c>
      <c r="B822" t="s">
        <v>1185</v>
      </c>
      <c r="C822">
        <v>9</v>
      </c>
      <c r="D822" s="213">
        <v>35899</v>
      </c>
      <c r="E822" s="213">
        <v>35927</v>
      </c>
      <c r="F822" s="213">
        <v>35919</v>
      </c>
      <c r="G822">
        <v>2</v>
      </c>
      <c r="H822">
        <v>6.27</v>
      </c>
      <c r="I822" t="s">
        <v>1186</v>
      </c>
      <c r="J822" t="s">
        <v>1187</v>
      </c>
      <c r="K822" t="s">
        <v>1158</v>
      </c>
      <c r="L822" t="s">
        <v>57</v>
      </c>
      <c r="M822" t="s">
        <v>1188</v>
      </c>
      <c r="N822" t="s">
        <v>831</v>
      </c>
    </row>
    <row r="823" spans="1:14">
      <c r="A823">
        <v>11023</v>
      </c>
      <c r="B823" t="s">
        <v>1316</v>
      </c>
      <c r="C823">
        <v>1</v>
      </c>
      <c r="D823" s="213">
        <v>35899</v>
      </c>
      <c r="E823" s="213">
        <v>35913</v>
      </c>
      <c r="F823" s="213">
        <v>35909</v>
      </c>
      <c r="G823">
        <v>2</v>
      </c>
      <c r="H823">
        <v>123.83</v>
      </c>
      <c r="I823" t="s">
        <v>1317</v>
      </c>
      <c r="J823" t="s">
        <v>1318</v>
      </c>
      <c r="K823" t="s">
        <v>1319</v>
      </c>
      <c r="M823" t="s">
        <v>1320</v>
      </c>
      <c r="N823" t="s">
        <v>1321</v>
      </c>
    </row>
    <row r="824" spans="1:14">
      <c r="A824">
        <v>11024</v>
      </c>
      <c r="B824" t="s">
        <v>1438</v>
      </c>
      <c r="C824">
        <v>4</v>
      </c>
      <c r="D824" s="213">
        <v>35900</v>
      </c>
      <c r="E824" s="213">
        <v>35928</v>
      </c>
      <c r="F824" s="213">
        <v>35905</v>
      </c>
      <c r="G824">
        <v>1</v>
      </c>
      <c r="H824">
        <v>74.36</v>
      </c>
      <c r="I824" t="s">
        <v>1439</v>
      </c>
      <c r="J824" t="s">
        <v>1440</v>
      </c>
      <c r="K824" t="s">
        <v>1319</v>
      </c>
      <c r="M824" t="s">
        <v>1441</v>
      </c>
      <c r="N824" t="s">
        <v>1321</v>
      </c>
    </row>
    <row r="825" spans="1:14">
      <c r="A825">
        <v>11025</v>
      </c>
      <c r="B825" t="s">
        <v>1251</v>
      </c>
      <c r="C825">
        <v>6</v>
      </c>
      <c r="D825" s="213">
        <v>35900</v>
      </c>
      <c r="E825" s="213">
        <v>35928</v>
      </c>
      <c r="F825" s="213">
        <v>35909</v>
      </c>
      <c r="G825">
        <v>3</v>
      </c>
      <c r="H825">
        <v>29.17</v>
      </c>
      <c r="I825" t="s">
        <v>1252</v>
      </c>
      <c r="J825" t="s">
        <v>1253</v>
      </c>
      <c r="K825" t="s">
        <v>1254</v>
      </c>
      <c r="M825">
        <v>90110</v>
      </c>
      <c r="N825" t="s">
        <v>1255</v>
      </c>
    </row>
    <row r="826" spans="1:14">
      <c r="A826">
        <v>11026</v>
      </c>
      <c r="B826" t="s">
        <v>1494</v>
      </c>
      <c r="C826">
        <v>4</v>
      </c>
      <c r="D826" s="213">
        <v>35900</v>
      </c>
      <c r="E826" s="213">
        <v>35928</v>
      </c>
      <c r="F826" s="213">
        <v>35913</v>
      </c>
      <c r="G826">
        <v>1</v>
      </c>
      <c r="H826">
        <v>47.09</v>
      </c>
      <c r="I826" t="s">
        <v>1495</v>
      </c>
      <c r="J826" t="s">
        <v>1496</v>
      </c>
      <c r="K826" t="s">
        <v>1497</v>
      </c>
      <c r="M826">
        <v>10100</v>
      </c>
      <c r="N826" t="s">
        <v>827</v>
      </c>
    </row>
    <row r="827" spans="1:14">
      <c r="A827">
        <v>11027</v>
      </c>
      <c r="B827" t="s">
        <v>1473</v>
      </c>
      <c r="C827">
        <v>1</v>
      </c>
      <c r="D827" s="213">
        <v>35901</v>
      </c>
      <c r="E827" s="213">
        <v>35929</v>
      </c>
      <c r="F827" s="213">
        <v>35905</v>
      </c>
      <c r="G827">
        <v>1</v>
      </c>
      <c r="H827">
        <v>52.52</v>
      </c>
      <c r="I827" t="s">
        <v>1474</v>
      </c>
      <c r="J827" t="s">
        <v>1475</v>
      </c>
      <c r="K827" t="s">
        <v>1476</v>
      </c>
      <c r="L827" t="s">
        <v>1477</v>
      </c>
      <c r="M827" t="s">
        <v>1478</v>
      </c>
      <c r="N827" t="s">
        <v>1402</v>
      </c>
    </row>
    <row r="828" spans="1:14">
      <c r="A828">
        <v>11028</v>
      </c>
      <c r="B828" t="s">
        <v>1375</v>
      </c>
      <c r="C828">
        <v>2</v>
      </c>
      <c r="D828" s="213">
        <v>35901</v>
      </c>
      <c r="E828" s="213">
        <v>35929</v>
      </c>
      <c r="F828" s="213">
        <v>35907</v>
      </c>
      <c r="G828">
        <v>1</v>
      </c>
      <c r="H828">
        <v>29.59</v>
      </c>
      <c r="I828" t="s">
        <v>1376</v>
      </c>
      <c r="J828" t="s">
        <v>1377</v>
      </c>
      <c r="K828" t="s">
        <v>1378</v>
      </c>
      <c r="M828">
        <v>14776</v>
      </c>
      <c r="N828" t="s">
        <v>1184</v>
      </c>
    </row>
    <row r="829" spans="1:14">
      <c r="A829">
        <v>11029</v>
      </c>
      <c r="B829" t="s">
        <v>1198</v>
      </c>
      <c r="C829">
        <v>4</v>
      </c>
      <c r="D829" s="213">
        <v>35901</v>
      </c>
      <c r="E829" s="213">
        <v>35929</v>
      </c>
      <c r="F829" s="213">
        <v>35912</v>
      </c>
      <c r="G829">
        <v>1</v>
      </c>
      <c r="H829">
        <v>47.84</v>
      </c>
      <c r="I829" t="s">
        <v>1199</v>
      </c>
      <c r="J829" t="s">
        <v>1200</v>
      </c>
      <c r="K829" t="s">
        <v>1201</v>
      </c>
      <c r="M829">
        <v>3012</v>
      </c>
      <c r="N829" t="s">
        <v>1202</v>
      </c>
    </row>
    <row r="830" spans="1:14">
      <c r="A830">
        <v>11030</v>
      </c>
      <c r="B830" t="s">
        <v>1379</v>
      </c>
      <c r="C830">
        <v>7</v>
      </c>
      <c r="D830" s="213">
        <v>35902</v>
      </c>
      <c r="E830" s="213">
        <v>35930</v>
      </c>
      <c r="F830" s="213">
        <v>35912</v>
      </c>
      <c r="G830">
        <v>2</v>
      </c>
      <c r="H830">
        <v>830.75</v>
      </c>
      <c r="I830" t="s">
        <v>1380</v>
      </c>
      <c r="J830" t="s">
        <v>1381</v>
      </c>
      <c r="K830" t="s">
        <v>1382</v>
      </c>
      <c r="L830" t="s">
        <v>1383</v>
      </c>
      <c r="M830">
        <v>83720</v>
      </c>
      <c r="N830" t="s">
        <v>1241</v>
      </c>
    </row>
    <row r="831" spans="1:14">
      <c r="A831">
        <v>11031</v>
      </c>
      <c r="B831" t="s">
        <v>1379</v>
      </c>
      <c r="C831">
        <v>6</v>
      </c>
      <c r="D831" s="213">
        <v>35902</v>
      </c>
      <c r="E831" s="213">
        <v>35930</v>
      </c>
      <c r="F831" s="213">
        <v>35909</v>
      </c>
      <c r="G831">
        <v>2</v>
      </c>
      <c r="H831">
        <v>227.22</v>
      </c>
      <c r="I831" t="s">
        <v>1380</v>
      </c>
      <c r="J831" t="s">
        <v>1381</v>
      </c>
      <c r="K831" t="s">
        <v>1382</v>
      </c>
      <c r="L831" t="s">
        <v>1383</v>
      </c>
      <c r="M831">
        <v>83720</v>
      </c>
      <c r="N831" t="s">
        <v>1241</v>
      </c>
    </row>
    <row r="832" spans="1:14">
      <c r="A832">
        <v>11032</v>
      </c>
      <c r="B832" t="s">
        <v>1264</v>
      </c>
      <c r="C832">
        <v>2</v>
      </c>
      <c r="D832" s="213">
        <v>35902</v>
      </c>
      <c r="E832" s="213">
        <v>35930</v>
      </c>
      <c r="F832" s="213">
        <v>35908</v>
      </c>
      <c r="G832">
        <v>3</v>
      </c>
      <c r="H832">
        <v>606.19000000000005</v>
      </c>
      <c r="I832" t="s">
        <v>1265</v>
      </c>
      <c r="J832" t="s">
        <v>1266</v>
      </c>
      <c r="K832" t="s">
        <v>1267</v>
      </c>
      <c r="L832" t="s">
        <v>1268</v>
      </c>
      <c r="M832">
        <v>98124</v>
      </c>
      <c r="N832" t="s">
        <v>1241</v>
      </c>
    </row>
    <row r="833" spans="1:14">
      <c r="A833">
        <v>11033</v>
      </c>
      <c r="B833" t="s">
        <v>1203</v>
      </c>
      <c r="C833">
        <v>7</v>
      </c>
      <c r="D833" s="213">
        <v>35902</v>
      </c>
      <c r="E833" s="213">
        <v>35930</v>
      </c>
      <c r="F833" s="213">
        <v>35908</v>
      </c>
      <c r="G833">
        <v>3</v>
      </c>
      <c r="H833">
        <v>84.74</v>
      </c>
      <c r="I833" t="s">
        <v>1204</v>
      </c>
      <c r="J833" t="s">
        <v>1205</v>
      </c>
      <c r="K833" t="s">
        <v>1206</v>
      </c>
      <c r="M833">
        <v>1204</v>
      </c>
      <c r="N833" t="s">
        <v>1202</v>
      </c>
    </row>
    <row r="834" spans="1:14">
      <c r="A834">
        <v>11034</v>
      </c>
      <c r="B834" t="s">
        <v>1344</v>
      </c>
      <c r="C834">
        <v>8</v>
      </c>
      <c r="D834" s="213">
        <v>35905</v>
      </c>
      <c r="E834" s="213">
        <v>35947</v>
      </c>
      <c r="F834" s="213">
        <v>35912</v>
      </c>
      <c r="G834">
        <v>1</v>
      </c>
      <c r="H834">
        <v>40.32</v>
      </c>
      <c r="I834" t="s">
        <v>1345</v>
      </c>
      <c r="J834" t="s">
        <v>1346</v>
      </c>
      <c r="K834" t="s">
        <v>1347</v>
      </c>
      <c r="L834" t="s">
        <v>1348</v>
      </c>
      <c r="M834">
        <v>99508</v>
      </c>
      <c r="N834" t="s">
        <v>1241</v>
      </c>
    </row>
    <row r="835" spans="1:14">
      <c r="A835">
        <v>11035</v>
      </c>
      <c r="B835" t="s">
        <v>1193</v>
      </c>
      <c r="C835">
        <v>2</v>
      </c>
      <c r="D835" s="213">
        <v>35905</v>
      </c>
      <c r="E835" s="213">
        <v>35933</v>
      </c>
      <c r="F835" s="213">
        <v>35909</v>
      </c>
      <c r="G835">
        <v>2</v>
      </c>
      <c r="H835">
        <v>0.17</v>
      </c>
      <c r="I835" t="s">
        <v>1194</v>
      </c>
      <c r="J835" t="s">
        <v>1195</v>
      </c>
      <c r="K835" t="s">
        <v>1196</v>
      </c>
      <c r="M835" t="s">
        <v>1197</v>
      </c>
      <c r="N835" t="s">
        <v>833</v>
      </c>
    </row>
    <row r="836" spans="1:14">
      <c r="A836">
        <v>11036</v>
      </c>
      <c r="B836" t="s">
        <v>1434</v>
      </c>
      <c r="C836">
        <v>8</v>
      </c>
      <c r="D836" s="213">
        <v>35905</v>
      </c>
      <c r="E836" s="213">
        <v>35933</v>
      </c>
      <c r="F836" s="213">
        <v>35907</v>
      </c>
      <c r="G836">
        <v>3</v>
      </c>
      <c r="H836">
        <v>149.47</v>
      </c>
      <c r="I836" t="s">
        <v>1435</v>
      </c>
      <c r="J836" t="s">
        <v>1436</v>
      </c>
      <c r="K836" t="s">
        <v>1437</v>
      </c>
      <c r="M836">
        <v>52066</v>
      </c>
      <c r="N836" t="s">
        <v>1184</v>
      </c>
    </row>
    <row r="837" spans="1:14">
      <c r="A837">
        <v>11037</v>
      </c>
      <c r="B837" t="s">
        <v>1340</v>
      </c>
      <c r="C837">
        <v>7</v>
      </c>
      <c r="D837" s="213">
        <v>35906</v>
      </c>
      <c r="E837" s="213">
        <v>35934</v>
      </c>
      <c r="F837" s="213">
        <v>35912</v>
      </c>
      <c r="G837">
        <v>1</v>
      </c>
      <c r="H837">
        <v>3.2</v>
      </c>
      <c r="I837" t="s">
        <v>1341</v>
      </c>
      <c r="J837" t="s">
        <v>1342</v>
      </c>
      <c r="K837" t="s">
        <v>1343</v>
      </c>
      <c r="M837">
        <v>41101</v>
      </c>
      <c r="N837" t="s">
        <v>1302</v>
      </c>
    </row>
    <row r="838" spans="1:14">
      <c r="A838">
        <v>11038</v>
      </c>
      <c r="B838" t="s">
        <v>1193</v>
      </c>
      <c r="C838">
        <v>1</v>
      </c>
      <c r="D838" s="213">
        <v>35906</v>
      </c>
      <c r="E838" s="213">
        <v>35934</v>
      </c>
      <c r="F838" s="213">
        <v>35915</v>
      </c>
      <c r="G838">
        <v>2</v>
      </c>
      <c r="H838">
        <v>29.59</v>
      </c>
      <c r="I838" t="s">
        <v>1194</v>
      </c>
      <c r="J838" t="s">
        <v>1195</v>
      </c>
      <c r="K838" t="s">
        <v>1196</v>
      </c>
      <c r="M838" t="s">
        <v>1197</v>
      </c>
      <c r="N838" t="s">
        <v>833</v>
      </c>
    </row>
    <row r="839" spans="1:14">
      <c r="A839">
        <v>11039</v>
      </c>
      <c r="B839" t="s">
        <v>1479</v>
      </c>
      <c r="C839">
        <v>1</v>
      </c>
      <c r="D839" s="213">
        <v>35906</v>
      </c>
      <c r="E839" s="213">
        <v>35934</v>
      </c>
      <c r="G839">
        <v>2</v>
      </c>
      <c r="H839">
        <v>65</v>
      </c>
      <c r="I839" t="s">
        <v>1480</v>
      </c>
      <c r="J839" t="s">
        <v>1481</v>
      </c>
      <c r="K839" t="s">
        <v>1482</v>
      </c>
      <c r="L839" t="s">
        <v>1483</v>
      </c>
      <c r="M839">
        <v>4980</v>
      </c>
      <c r="N839" t="s">
        <v>1217</v>
      </c>
    </row>
    <row r="840" spans="1:14">
      <c r="A840">
        <v>11040</v>
      </c>
      <c r="B840" t="s">
        <v>1531</v>
      </c>
      <c r="C840">
        <v>4</v>
      </c>
      <c r="D840" s="213">
        <v>35907</v>
      </c>
      <c r="E840" s="213">
        <v>35935</v>
      </c>
      <c r="G840">
        <v>3</v>
      </c>
      <c r="H840">
        <v>18.84</v>
      </c>
      <c r="I840" t="s">
        <v>1532</v>
      </c>
      <c r="J840" t="s">
        <v>1533</v>
      </c>
      <c r="K840" t="s">
        <v>1534</v>
      </c>
      <c r="L840" t="s">
        <v>1353</v>
      </c>
      <c r="M840">
        <v>97403</v>
      </c>
      <c r="N840" t="s">
        <v>1241</v>
      </c>
    </row>
    <row r="841" spans="1:14">
      <c r="A841">
        <v>11041</v>
      </c>
      <c r="B841" t="s">
        <v>1198</v>
      </c>
      <c r="C841">
        <v>3</v>
      </c>
      <c r="D841" s="213">
        <v>35907</v>
      </c>
      <c r="E841" s="213">
        <v>35935</v>
      </c>
      <c r="F841" s="213">
        <v>35913</v>
      </c>
      <c r="G841">
        <v>2</v>
      </c>
      <c r="H841">
        <v>48.22</v>
      </c>
      <c r="I841" t="s">
        <v>1199</v>
      </c>
      <c r="J841" t="s">
        <v>1200</v>
      </c>
      <c r="K841" t="s">
        <v>1201</v>
      </c>
      <c r="M841">
        <v>3012</v>
      </c>
      <c r="N841" t="s">
        <v>1202</v>
      </c>
    </row>
    <row r="842" spans="1:14">
      <c r="A842">
        <v>11042</v>
      </c>
      <c r="B842" t="s">
        <v>1322</v>
      </c>
      <c r="C842">
        <v>2</v>
      </c>
      <c r="D842" s="213">
        <v>35907</v>
      </c>
      <c r="E842" s="213">
        <v>35921</v>
      </c>
      <c r="F842" s="213">
        <v>35916</v>
      </c>
      <c r="G842">
        <v>1</v>
      </c>
      <c r="H842">
        <v>29.99</v>
      </c>
      <c r="I842" t="s">
        <v>1323</v>
      </c>
      <c r="J842" t="s">
        <v>1324</v>
      </c>
      <c r="K842" t="s">
        <v>983</v>
      </c>
      <c r="L842" t="s">
        <v>38</v>
      </c>
      <c r="M842" t="s">
        <v>1325</v>
      </c>
      <c r="N842" t="s">
        <v>831</v>
      </c>
    </row>
    <row r="843" spans="1:14">
      <c r="A843">
        <v>11043</v>
      </c>
      <c r="B843" t="s">
        <v>1566</v>
      </c>
      <c r="C843">
        <v>5</v>
      </c>
      <c r="D843" s="213">
        <v>35907</v>
      </c>
      <c r="E843" s="213">
        <v>35935</v>
      </c>
      <c r="F843" s="213">
        <v>35914</v>
      </c>
      <c r="G843">
        <v>2</v>
      </c>
      <c r="H843">
        <v>8.8000000000000007</v>
      </c>
      <c r="I843" t="s">
        <v>1567</v>
      </c>
      <c r="J843" t="s">
        <v>1568</v>
      </c>
      <c r="K843" t="s">
        <v>1569</v>
      </c>
      <c r="M843">
        <v>75016</v>
      </c>
      <c r="N843" t="s">
        <v>824</v>
      </c>
    </row>
    <row r="844" spans="1:14">
      <c r="A844">
        <v>11044</v>
      </c>
      <c r="B844" t="s">
        <v>1457</v>
      </c>
      <c r="C844">
        <v>4</v>
      </c>
      <c r="D844" s="213">
        <v>35908</v>
      </c>
      <c r="E844" s="213">
        <v>35936</v>
      </c>
      <c r="F844" s="213">
        <v>35916</v>
      </c>
      <c r="G844">
        <v>1</v>
      </c>
      <c r="H844">
        <v>8.7200000000000006</v>
      </c>
      <c r="I844" t="s">
        <v>1458</v>
      </c>
      <c r="J844" t="s">
        <v>1459</v>
      </c>
      <c r="K844" t="s">
        <v>1460</v>
      </c>
      <c r="M844" t="s">
        <v>1461</v>
      </c>
      <c r="N844" t="s">
        <v>1462</v>
      </c>
    </row>
    <row r="845" spans="1:14">
      <c r="A845">
        <v>11045</v>
      </c>
      <c r="B845" t="s">
        <v>1473</v>
      </c>
      <c r="C845">
        <v>6</v>
      </c>
      <c r="D845" s="213">
        <v>35908</v>
      </c>
      <c r="E845" s="213">
        <v>35936</v>
      </c>
      <c r="G845">
        <v>2</v>
      </c>
      <c r="H845">
        <v>70.58</v>
      </c>
      <c r="I845" t="s">
        <v>1474</v>
      </c>
      <c r="J845" t="s">
        <v>1475</v>
      </c>
      <c r="K845" t="s">
        <v>1476</v>
      </c>
      <c r="L845" t="s">
        <v>1477</v>
      </c>
      <c r="M845" t="s">
        <v>1478</v>
      </c>
      <c r="N845" t="s">
        <v>1402</v>
      </c>
    </row>
    <row r="846" spans="1:14">
      <c r="A846">
        <v>11046</v>
      </c>
      <c r="B846" t="s">
        <v>1336</v>
      </c>
      <c r="C846">
        <v>8</v>
      </c>
      <c r="D846" s="213">
        <v>35908</v>
      </c>
      <c r="E846" s="213">
        <v>35936</v>
      </c>
      <c r="F846" s="213">
        <v>35909</v>
      </c>
      <c r="G846">
        <v>2</v>
      </c>
      <c r="H846">
        <v>71.64</v>
      </c>
      <c r="I846" t="s">
        <v>1337</v>
      </c>
      <c r="J846" t="s">
        <v>1338</v>
      </c>
      <c r="K846" t="s">
        <v>1339</v>
      </c>
      <c r="M846">
        <v>70563</v>
      </c>
      <c r="N846" t="s">
        <v>1184</v>
      </c>
    </row>
    <row r="847" spans="1:14">
      <c r="A847">
        <v>11047</v>
      </c>
      <c r="B847" t="s">
        <v>1438</v>
      </c>
      <c r="C847">
        <v>7</v>
      </c>
      <c r="D847" s="213">
        <v>35909</v>
      </c>
      <c r="E847" s="213">
        <v>35937</v>
      </c>
      <c r="F847" s="213">
        <v>35916</v>
      </c>
      <c r="G847">
        <v>3</v>
      </c>
      <c r="H847">
        <v>46.62</v>
      </c>
      <c r="I847" t="s">
        <v>1439</v>
      </c>
      <c r="J847" t="s">
        <v>1440</v>
      </c>
      <c r="K847" t="s">
        <v>1319</v>
      </c>
      <c r="M847" t="s">
        <v>1441</v>
      </c>
      <c r="N847" t="s">
        <v>1321</v>
      </c>
    </row>
    <row r="848" spans="1:14">
      <c r="A848">
        <v>11048</v>
      </c>
      <c r="B848" t="s">
        <v>1473</v>
      </c>
      <c r="C848">
        <v>7</v>
      </c>
      <c r="D848" s="213">
        <v>35909</v>
      </c>
      <c r="E848" s="213">
        <v>35937</v>
      </c>
      <c r="F848" s="213">
        <v>35915</v>
      </c>
      <c r="G848">
        <v>3</v>
      </c>
      <c r="H848">
        <v>24.12</v>
      </c>
      <c r="I848" t="s">
        <v>1474</v>
      </c>
      <c r="J848" t="s">
        <v>1475</v>
      </c>
      <c r="K848" t="s">
        <v>1476</v>
      </c>
      <c r="L848" t="s">
        <v>1477</v>
      </c>
      <c r="M848" t="s">
        <v>1478</v>
      </c>
      <c r="N848" t="s">
        <v>1402</v>
      </c>
    </row>
    <row r="849" spans="1:14">
      <c r="A849">
        <v>11049</v>
      </c>
      <c r="B849" t="s">
        <v>1498</v>
      </c>
      <c r="C849">
        <v>3</v>
      </c>
      <c r="D849" s="213">
        <v>35909</v>
      </c>
      <c r="E849" s="213">
        <v>35937</v>
      </c>
      <c r="F849" s="213">
        <v>35919</v>
      </c>
      <c r="G849">
        <v>1</v>
      </c>
      <c r="H849">
        <v>8.34</v>
      </c>
      <c r="I849" t="s">
        <v>1499</v>
      </c>
      <c r="J849" t="s">
        <v>1500</v>
      </c>
      <c r="K849" t="s">
        <v>937</v>
      </c>
      <c r="L849" t="s">
        <v>38</v>
      </c>
      <c r="M849" t="s">
        <v>1501</v>
      </c>
      <c r="N849" t="s">
        <v>831</v>
      </c>
    </row>
    <row r="850" spans="1:14">
      <c r="A850">
        <v>11050</v>
      </c>
      <c r="B850" t="s">
        <v>1242</v>
      </c>
      <c r="C850">
        <v>8</v>
      </c>
      <c r="D850" s="213">
        <v>35912</v>
      </c>
      <c r="E850" s="213">
        <v>35940</v>
      </c>
      <c r="F850" s="213">
        <v>35920</v>
      </c>
      <c r="G850">
        <v>2</v>
      </c>
      <c r="H850">
        <v>59.41</v>
      </c>
      <c r="I850" t="s">
        <v>1243</v>
      </c>
      <c r="J850" t="s">
        <v>1244</v>
      </c>
      <c r="K850" t="s">
        <v>1245</v>
      </c>
      <c r="M850" t="s">
        <v>1246</v>
      </c>
      <c r="N850" t="s">
        <v>829</v>
      </c>
    </row>
    <row r="851" spans="1:14">
      <c r="A851">
        <v>11051</v>
      </c>
      <c r="B851" t="s">
        <v>1415</v>
      </c>
      <c r="C851">
        <v>7</v>
      </c>
      <c r="D851" s="213">
        <v>35912</v>
      </c>
      <c r="E851" s="213">
        <v>35940</v>
      </c>
      <c r="G851">
        <v>3</v>
      </c>
      <c r="H851">
        <v>2.79</v>
      </c>
      <c r="I851" t="s">
        <v>1416</v>
      </c>
      <c r="J851" t="s">
        <v>1417</v>
      </c>
      <c r="K851" t="s">
        <v>1418</v>
      </c>
      <c r="M851">
        <v>31000</v>
      </c>
      <c r="N851" t="s">
        <v>824</v>
      </c>
    </row>
    <row r="852" spans="1:14">
      <c r="A852">
        <v>11052</v>
      </c>
      <c r="B852" t="s">
        <v>1185</v>
      </c>
      <c r="C852">
        <v>3</v>
      </c>
      <c r="D852" s="213">
        <v>35912</v>
      </c>
      <c r="E852" s="213">
        <v>35940</v>
      </c>
      <c r="F852" s="213">
        <v>35916</v>
      </c>
      <c r="G852">
        <v>1</v>
      </c>
      <c r="H852">
        <v>67.260000000000005</v>
      </c>
      <c r="I852" t="s">
        <v>1186</v>
      </c>
      <c r="J852" t="s">
        <v>1187</v>
      </c>
      <c r="K852" t="s">
        <v>1158</v>
      </c>
      <c r="L852" t="s">
        <v>57</v>
      </c>
      <c r="M852" t="s">
        <v>1188</v>
      </c>
      <c r="N852" t="s">
        <v>831</v>
      </c>
    </row>
    <row r="853" spans="1:14">
      <c r="A853">
        <v>11053</v>
      </c>
      <c r="B853" t="s">
        <v>1419</v>
      </c>
      <c r="C853">
        <v>2</v>
      </c>
      <c r="D853" s="213">
        <v>35912</v>
      </c>
      <c r="E853" s="213">
        <v>35940</v>
      </c>
      <c r="F853" s="213">
        <v>35914</v>
      </c>
      <c r="G853">
        <v>2</v>
      </c>
      <c r="H853">
        <v>53.05</v>
      </c>
      <c r="I853" t="s">
        <v>1420</v>
      </c>
      <c r="J853" t="s">
        <v>1421</v>
      </c>
      <c r="K853" t="s">
        <v>1422</v>
      </c>
      <c r="M853">
        <v>5020</v>
      </c>
      <c r="N853" t="s">
        <v>1222</v>
      </c>
    </row>
    <row r="854" spans="1:14">
      <c r="A854">
        <v>11054</v>
      </c>
      <c r="B854" t="s">
        <v>1528</v>
      </c>
      <c r="C854">
        <v>8</v>
      </c>
      <c r="D854" s="213">
        <v>35913</v>
      </c>
      <c r="E854" s="213">
        <v>35941</v>
      </c>
      <c r="G854">
        <v>1</v>
      </c>
      <c r="H854">
        <v>0.33</v>
      </c>
      <c r="I854" t="s">
        <v>1529</v>
      </c>
      <c r="J854" t="s">
        <v>1530</v>
      </c>
      <c r="K854" t="s">
        <v>1492</v>
      </c>
      <c r="M854">
        <v>1010</v>
      </c>
      <c r="N854" t="s">
        <v>1493</v>
      </c>
    </row>
    <row r="855" spans="1:14">
      <c r="A855">
        <v>11055</v>
      </c>
      <c r="B855" t="s">
        <v>1212</v>
      </c>
      <c r="C855">
        <v>7</v>
      </c>
      <c r="D855" s="213">
        <v>35913</v>
      </c>
      <c r="E855" s="213">
        <v>35941</v>
      </c>
      <c r="F855" s="213">
        <v>35920</v>
      </c>
      <c r="G855">
        <v>2</v>
      </c>
      <c r="H855">
        <v>120.92</v>
      </c>
      <c r="I855" t="s">
        <v>1213</v>
      </c>
      <c r="J855" t="s">
        <v>1214</v>
      </c>
      <c r="K855" t="s">
        <v>1215</v>
      </c>
      <c r="L855" t="s">
        <v>1216</v>
      </c>
      <c r="M855">
        <v>5022</v>
      </c>
      <c r="N855" t="s">
        <v>1217</v>
      </c>
    </row>
    <row r="856" spans="1:14">
      <c r="A856">
        <v>11056</v>
      </c>
      <c r="B856" t="s">
        <v>1438</v>
      </c>
      <c r="C856">
        <v>8</v>
      </c>
      <c r="D856" s="213">
        <v>35913</v>
      </c>
      <c r="E856" s="213">
        <v>35927</v>
      </c>
      <c r="F856" s="213">
        <v>35916</v>
      </c>
      <c r="G856">
        <v>2</v>
      </c>
      <c r="H856">
        <v>278.95999999999998</v>
      </c>
      <c r="I856" t="s">
        <v>1439</v>
      </c>
      <c r="J856" t="s">
        <v>1440</v>
      </c>
      <c r="K856" t="s">
        <v>1319</v>
      </c>
      <c r="M856" t="s">
        <v>1441</v>
      </c>
      <c r="N856" t="s">
        <v>1321</v>
      </c>
    </row>
    <row r="857" spans="1:14">
      <c r="A857">
        <v>11057</v>
      </c>
      <c r="B857" t="s">
        <v>1523</v>
      </c>
      <c r="C857">
        <v>3</v>
      </c>
      <c r="D857" s="213">
        <v>35914</v>
      </c>
      <c r="E857" s="213">
        <v>35942</v>
      </c>
      <c r="F857" s="213">
        <v>35916</v>
      </c>
      <c r="G857">
        <v>3</v>
      </c>
      <c r="H857">
        <v>4.13</v>
      </c>
      <c r="I857" t="s">
        <v>1524</v>
      </c>
      <c r="J857" t="s">
        <v>1525</v>
      </c>
    </row>
    <row r="858" spans="1:14">
      <c r="A858" t="s">
        <v>1526</v>
      </c>
      <c r="B858" t="s">
        <v>1319</v>
      </c>
      <c r="D858" t="s">
        <v>1527</v>
      </c>
      <c r="E858" t="s">
        <v>1321</v>
      </c>
    </row>
    <row r="859" spans="1:14">
      <c r="A859">
        <v>11058</v>
      </c>
      <c r="B859" t="s">
        <v>1519</v>
      </c>
      <c r="C859">
        <v>9</v>
      </c>
      <c r="D859" s="213">
        <v>35914</v>
      </c>
      <c r="E859" s="213">
        <v>35942</v>
      </c>
      <c r="G859">
        <v>3</v>
      </c>
      <c r="H859">
        <v>31.14</v>
      </c>
      <c r="I859" t="s">
        <v>1520</v>
      </c>
      <c r="J859" t="s">
        <v>1521</v>
      </c>
      <c r="K859" t="s">
        <v>1522</v>
      </c>
      <c r="M859">
        <v>68306</v>
      </c>
      <c r="N859" t="s">
        <v>1184</v>
      </c>
    </row>
    <row r="860" spans="1:14">
      <c r="A860">
        <v>11059</v>
      </c>
      <c r="B860" t="s">
        <v>1308</v>
      </c>
      <c r="C860">
        <v>2</v>
      </c>
      <c r="D860" s="213">
        <v>35914</v>
      </c>
      <c r="E860" s="213">
        <v>35956</v>
      </c>
      <c r="G860">
        <v>2</v>
      </c>
      <c r="H860">
        <v>85.8</v>
      </c>
      <c r="I860" t="s">
        <v>1309</v>
      </c>
      <c r="J860" t="s">
        <v>1310</v>
      </c>
      <c r="K860" t="s">
        <v>1158</v>
      </c>
      <c r="L860" t="s">
        <v>57</v>
      </c>
      <c r="M860" t="s">
        <v>1311</v>
      </c>
      <c r="N860" t="s">
        <v>831</v>
      </c>
    </row>
    <row r="861" spans="1:14">
      <c r="A861">
        <v>11060</v>
      </c>
      <c r="B861" t="s">
        <v>1494</v>
      </c>
      <c r="C861">
        <v>2</v>
      </c>
      <c r="D861" s="213">
        <v>35915</v>
      </c>
      <c r="E861" s="213">
        <v>35943</v>
      </c>
      <c r="F861" s="213">
        <v>35919</v>
      </c>
      <c r="G861">
        <v>2</v>
      </c>
      <c r="H861">
        <v>10.98</v>
      </c>
      <c r="I861" t="s">
        <v>1495</v>
      </c>
      <c r="J861" t="s">
        <v>1496</v>
      </c>
      <c r="K861" t="s">
        <v>1497</v>
      </c>
      <c r="M861">
        <v>10100</v>
      </c>
      <c r="N861" t="s">
        <v>827</v>
      </c>
    </row>
    <row r="862" spans="1:14">
      <c r="A862">
        <v>11061</v>
      </c>
      <c r="B862" t="s">
        <v>1531</v>
      </c>
      <c r="C862">
        <v>4</v>
      </c>
      <c r="D862" s="213">
        <v>35915</v>
      </c>
      <c r="E862" s="213">
        <v>35957</v>
      </c>
      <c r="G862">
        <v>3</v>
      </c>
      <c r="H862">
        <v>14.01</v>
      </c>
      <c r="I862" t="s">
        <v>1532</v>
      </c>
      <c r="J862" t="s">
        <v>1533</v>
      </c>
      <c r="K862" t="s">
        <v>1534</v>
      </c>
      <c r="L862" t="s">
        <v>1353</v>
      </c>
      <c r="M862">
        <v>97403</v>
      </c>
      <c r="N862" t="s">
        <v>1241</v>
      </c>
    </row>
    <row r="863" spans="1:14">
      <c r="A863">
        <v>11062</v>
      </c>
      <c r="B863" t="s">
        <v>1312</v>
      </c>
      <c r="C863">
        <v>4</v>
      </c>
      <c r="D863" s="213">
        <v>35915</v>
      </c>
      <c r="E863" s="213">
        <v>35943</v>
      </c>
      <c r="G863">
        <v>2</v>
      </c>
      <c r="H863">
        <v>29.93</v>
      </c>
      <c r="I863" t="s">
        <v>1313</v>
      </c>
      <c r="J863" t="s">
        <v>1314</v>
      </c>
      <c r="K863" t="s">
        <v>1315</v>
      </c>
      <c r="M863">
        <v>42100</v>
      </c>
      <c r="N863" t="s">
        <v>827</v>
      </c>
    </row>
    <row r="864" spans="1:14">
      <c r="A864">
        <v>11063</v>
      </c>
      <c r="B864" t="s">
        <v>1330</v>
      </c>
      <c r="C864">
        <v>3</v>
      </c>
      <c r="D864" s="213">
        <v>35915</v>
      </c>
      <c r="E864" s="213">
        <v>35943</v>
      </c>
      <c r="F864" s="213">
        <v>35921</v>
      </c>
      <c r="G864">
        <v>2</v>
      </c>
      <c r="H864">
        <v>81.73</v>
      </c>
      <c r="I864" t="s">
        <v>1331</v>
      </c>
      <c r="J864" t="s">
        <v>1332</v>
      </c>
      <c r="K864" t="s">
        <v>1333</v>
      </c>
      <c r="L864" t="s">
        <v>1334</v>
      </c>
      <c r="N864" t="s">
        <v>1335</v>
      </c>
    </row>
    <row r="865" spans="1:14">
      <c r="A865">
        <v>11064</v>
      </c>
      <c r="B865" t="s">
        <v>1379</v>
      </c>
      <c r="C865">
        <v>1</v>
      </c>
      <c r="D865" s="213">
        <v>35916</v>
      </c>
      <c r="E865" s="213">
        <v>35944</v>
      </c>
      <c r="F865" s="213">
        <v>35919</v>
      </c>
      <c r="G865">
        <v>1</v>
      </c>
      <c r="H865">
        <v>30.09</v>
      </c>
      <c r="I865" t="s">
        <v>1380</v>
      </c>
      <c r="J865" t="s">
        <v>1381</v>
      </c>
      <c r="K865" t="s">
        <v>1382</v>
      </c>
      <c r="L865" t="s">
        <v>1383</v>
      </c>
      <c r="M865">
        <v>83720</v>
      </c>
      <c r="N865" t="s">
        <v>1241</v>
      </c>
    </row>
    <row r="866" spans="1:14">
      <c r="A866">
        <v>11065</v>
      </c>
      <c r="B866" t="s">
        <v>1303</v>
      </c>
      <c r="C866">
        <v>8</v>
      </c>
      <c r="D866" s="213">
        <v>35916</v>
      </c>
      <c r="E866" s="213">
        <v>35944</v>
      </c>
      <c r="G866">
        <v>1</v>
      </c>
      <c r="H866">
        <v>12.91</v>
      </c>
      <c r="I866" t="s">
        <v>1304</v>
      </c>
      <c r="J866" t="s">
        <v>1305</v>
      </c>
      <c r="K866" t="s">
        <v>1306</v>
      </c>
      <c r="L866" t="s">
        <v>1307</v>
      </c>
      <c r="M866">
        <v>3508</v>
      </c>
      <c r="N866" t="s">
        <v>1217</v>
      </c>
    </row>
    <row r="867" spans="1:14">
      <c r="A867">
        <v>11066</v>
      </c>
      <c r="B867" t="s">
        <v>1264</v>
      </c>
      <c r="C867">
        <v>7</v>
      </c>
      <c r="D867" s="213">
        <v>35916</v>
      </c>
      <c r="E867" s="213">
        <v>35944</v>
      </c>
      <c r="F867" s="213">
        <v>35919</v>
      </c>
      <c r="G867">
        <v>2</v>
      </c>
      <c r="H867">
        <v>44.72</v>
      </c>
      <c r="I867" t="s">
        <v>1265</v>
      </c>
      <c r="J867" t="s">
        <v>1266</v>
      </c>
      <c r="K867" t="s">
        <v>1267</v>
      </c>
      <c r="L867" t="s">
        <v>1268</v>
      </c>
      <c r="M867">
        <v>98124</v>
      </c>
      <c r="N867" t="s">
        <v>1241</v>
      </c>
    </row>
    <row r="868" spans="1:14">
      <c r="A868">
        <v>11067</v>
      </c>
      <c r="B868" t="s">
        <v>1434</v>
      </c>
      <c r="C868">
        <v>1</v>
      </c>
      <c r="D868" s="213">
        <v>35919</v>
      </c>
      <c r="E868" s="213">
        <v>35933</v>
      </c>
      <c r="F868" s="213">
        <v>35921</v>
      </c>
      <c r="G868">
        <v>2</v>
      </c>
      <c r="H868">
        <v>7.98</v>
      </c>
      <c r="I868" t="s">
        <v>1435</v>
      </c>
      <c r="J868" t="s">
        <v>1436</v>
      </c>
      <c r="K868" t="s">
        <v>1437</v>
      </c>
      <c r="M868">
        <v>52066</v>
      </c>
      <c r="N868" t="s">
        <v>1184</v>
      </c>
    </row>
    <row r="869" spans="1:14">
      <c r="A869">
        <v>11068</v>
      </c>
      <c r="B869" t="s">
        <v>1453</v>
      </c>
      <c r="C869">
        <v>8</v>
      </c>
      <c r="D869" s="213">
        <v>35919</v>
      </c>
      <c r="E869" s="213">
        <v>35947</v>
      </c>
      <c r="G869">
        <v>2</v>
      </c>
      <c r="H869">
        <v>81.75</v>
      </c>
      <c r="I869" t="s">
        <v>1454</v>
      </c>
      <c r="J869" t="s">
        <v>1455</v>
      </c>
      <c r="K869" t="s">
        <v>983</v>
      </c>
      <c r="L869" t="s">
        <v>38</v>
      </c>
      <c r="M869" t="s">
        <v>1456</v>
      </c>
      <c r="N869" t="s">
        <v>831</v>
      </c>
    </row>
    <row r="870" spans="1:14">
      <c r="A870">
        <v>11069</v>
      </c>
      <c r="B870" t="s">
        <v>1282</v>
      </c>
      <c r="C870">
        <v>1</v>
      </c>
      <c r="D870" s="213">
        <v>35919</v>
      </c>
      <c r="E870" s="213">
        <v>35947</v>
      </c>
      <c r="F870" s="213">
        <v>35921</v>
      </c>
      <c r="G870">
        <v>2</v>
      </c>
      <c r="H870">
        <v>15.67</v>
      </c>
      <c r="I870" t="s">
        <v>1283</v>
      </c>
      <c r="J870" t="s">
        <v>1284</v>
      </c>
      <c r="K870" t="s">
        <v>1226</v>
      </c>
      <c r="M870">
        <v>5033</v>
      </c>
      <c r="N870" t="s">
        <v>1227</v>
      </c>
    </row>
    <row r="871" spans="1:14">
      <c r="A871">
        <v>11070</v>
      </c>
      <c r="B871" t="s">
        <v>1294</v>
      </c>
      <c r="C871">
        <v>2</v>
      </c>
      <c r="D871" s="213">
        <v>35920</v>
      </c>
      <c r="E871" s="213">
        <v>35948</v>
      </c>
      <c r="G871">
        <v>1</v>
      </c>
      <c r="H871">
        <v>136</v>
      </c>
      <c r="I871" t="s">
        <v>1295</v>
      </c>
      <c r="J871" t="s">
        <v>1296</v>
      </c>
      <c r="K871" t="s">
        <v>1297</v>
      </c>
      <c r="M871">
        <v>60528</v>
      </c>
      <c r="N871" t="s">
        <v>1184</v>
      </c>
    </row>
    <row r="872" spans="1:14">
      <c r="A872">
        <v>11071</v>
      </c>
      <c r="B872" t="s">
        <v>1303</v>
      </c>
      <c r="C872">
        <v>1</v>
      </c>
      <c r="D872" s="213">
        <v>35920</v>
      </c>
      <c r="E872" s="213">
        <v>35948</v>
      </c>
      <c r="G872">
        <v>1</v>
      </c>
      <c r="H872">
        <v>0.93</v>
      </c>
      <c r="I872" t="s">
        <v>1304</v>
      </c>
      <c r="J872" t="s">
        <v>1305</v>
      </c>
      <c r="K872" t="s">
        <v>1306</v>
      </c>
      <c r="L872" t="s">
        <v>1307</v>
      </c>
      <c r="M872">
        <v>3508</v>
      </c>
      <c r="N872" t="s">
        <v>1217</v>
      </c>
    </row>
    <row r="873" spans="1:14">
      <c r="A873">
        <v>11072</v>
      </c>
      <c r="B873" t="s">
        <v>1218</v>
      </c>
      <c r="C873">
        <v>4</v>
      </c>
      <c r="D873" s="213">
        <v>35920</v>
      </c>
      <c r="E873" s="213">
        <v>35948</v>
      </c>
      <c r="G873">
        <v>2</v>
      </c>
      <c r="H873">
        <v>258.64</v>
      </c>
      <c r="I873" t="s">
        <v>1219</v>
      </c>
      <c r="J873" t="s">
        <v>1220</v>
      </c>
      <c r="K873" t="s">
        <v>1221</v>
      </c>
      <c r="M873">
        <v>8010</v>
      </c>
      <c r="N873" t="s">
        <v>1222</v>
      </c>
    </row>
    <row r="874" spans="1:14">
      <c r="A874">
        <v>11073</v>
      </c>
      <c r="B874" t="s">
        <v>1372</v>
      </c>
      <c r="C874">
        <v>2</v>
      </c>
      <c r="D874" s="213">
        <v>35920</v>
      </c>
      <c r="E874" s="213">
        <v>35948</v>
      </c>
      <c r="G874">
        <v>2</v>
      </c>
      <c r="H874">
        <v>24.95</v>
      </c>
      <c r="I874" t="s">
        <v>1373</v>
      </c>
      <c r="J874" t="s">
        <v>1374</v>
      </c>
      <c r="K874" t="s">
        <v>1226</v>
      </c>
      <c r="M874">
        <v>5033</v>
      </c>
      <c r="N874" t="s">
        <v>1227</v>
      </c>
    </row>
    <row r="875" spans="1:14">
      <c r="A875">
        <v>11074</v>
      </c>
      <c r="B875" t="s">
        <v>1406</v>
      </c>
      <c r="C875">
        <v>7</v>
      </c>
      <c r="D875" s="213">
        <v>35921</v>
      </c>
      <c r="E875" s="213">
        <v>35949</v>
      </c>
      <c r="G875">
        <v>2</v>
      </c>
      <c r="H875">
        <v>18.440000000000001</v>
      </c>
      <c r="I875" t="s">
        <v>1407</v>
      </c>
      <c r="J875" t="s">
        <v>1408</v>
      </c>
      <c r="K875" t="s">
        <v>1409</v>
      </c>
      <c r="M875">
        <v>1734</v>
      </c>
      <c r="N875" t="s">
        <v>1410</v>
      </c>
    </row>
    <row r="876" spans="1:14">
      <c r="A876">
        <v>11075</v>
      </c>
      <c r="B876" t="s">
        <v>1203</v>
      </c>
      <c r="C876">
        <v>8</v>
      </c>
      <c r="D876" s="213">
        <v>35921</v>
      </c>
      <c r="E876" s="213">
        <v>35949</v>
      </c>
      <c r="G876">
        <v>2</v>
      </c>
      <c r="H876">
        <v>6.19</v>
      </c>
      <c r="I876" t="s">
        <v>1204</v>
      </c>
      <c r="J876" t="s">
        <v>1205</v>
      </c>
      <c r="K876" t="s">
        <v>1206</v>
      </c>
      <c r="M876">
        <v>1204</v>
      </c>
      <c r="N876" t="s">
        <v>1202</v>
      </c>
    </row>
    <row r="877" spans="1:14">
      <c r="A877">
        <v>11076</v>
      </c>
      <c r="B877" t="s">
        <v>1392</v>
      </c>
      <c r="C877">
        <v>4</v>
      </c>
      <c r="D877" s="213">
        <v>35921</v>
      </c>
      <c r="E877" s="213">
        <v>35949</v>
      </c>
      <c r="G877">
        <v>2</v>
      </c>
      <c r="H877">
        <v>38.28</v>
      </c>
      <c r="I877" t="s">
        <v>1393</v>
      </c>
      <c r="J877" t="s">
        <v>1394</v>
      </c>
      <c r="K877" t="s">
        <v>1395</v>
      </c>
      <c r="M877">
        <v>13008</v>
      </c>
      <c r="N877" t="s">
        <v>824</v>
      </c>
    </row>
    <row r="878" spans="1:14">
      <c r="A878">
        <v>11077</v>
      </c>
      <c r="B878" t="s">
        <v>1236</v>
      </c>
      <c r="C878">
        <v>1</v>
      </c>
      <c r="D878" s="213">
        <v>35921</v>
      </c>
      <c r="E878" s="213">
        <v>35949</v>
      </c>
      <c r="G878">
        <v>2</v>
      </c>
      <c r="H878">
        <v>8.5299999999999994</v>
      </c>
      <c r="I878" t="s">
        <v>1237</v>
      </c>
      <c r="J878" t="s">
        <v>1238</v>
      </c>
      <c r="K878" t="s">
        <v>1239</v>
      </c>
      <c r="L878" t="s">
        <v>1240</v>
      </c>
      <c r="M878">
        <v>87110</v>
      </c>
      <c r="N878" t="s">
        <v>1241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J78"/>
  <sheetViews>
    <sheetView workbookViewId="0">
      <selection activeCell="A2" sqref="A2"/>
    </sheetView>
  </sheetViews>
  <sheetFormatPr defaultRowHeight="15"/>
  <cols>
    <col min="1" max="1" width="19.140625" bestFit="1" customWidth="1"/>
    <col min="2" max="2" width="31.85546875" bestFit="1" customWidth="1"/>
    <col min="3" max="3" width="22.28515625" bestFit="1" customWidth="1"/>
    <col min="4" max="4" width="20.42578125" bestFit="1" customWidth="1"/>
    <col min="5" max="5" width="24.7109375" bestFit="1" customWidth="1"/>
    <col min="6" max="6" width="15.7109375" bestFit="1" customWidth="1"/>
    <col min="7" max="7" width="21.85546875" bestFit="1" customWidth="1"/>
    <col min="8" max="8" width="18.85546875" bestFit="1" customWidth="1"/>
    <col min="9" max="9" width="19.7109375" bestFit="1" customWidth="1"/>
    <col min="10" max="10" width="16.7109375" bestFit="1" customWidth="1"/>
  </cols>
  <sheetData>
    <row r="1" spans="1:10">
      <c r="A1" t="s">
        <v>1575</v>
      </c>
      <c r="B1" t="s">
        <v>1576</v>
      </c>
      <c r="C1" t="s">
        <v>1577</v>
      </c>
      <c r="D1" t="s">
        <v>1574</v>
      </c>
      <c r="E1" t="s">
        <v>1578</v>
      </c>
      <c r="F1" t="s">
        <v>1579</v>
      </c>
      <c r="G1" t="s">
        <v>1580</v>
      </c>
      <c r="H1" t="s">
        <v>1581</v>
      </c>
      <c r="I1" t="s">
        <v>1582</v>
      </c>
      <c r="J1" t="s">
        <v>1583</v>
      </c>
    </row>
    <row r="2" spans="1:10">
      <c r="A2">
        <v>1</v>
      </c>
      <c r="B2" t="s">
        <v>1584</v>
      </c>
      <c r="C2">
        <v>1</v>
      </c>
      <c r="D2">
        <v>1</v>
      </c>
      <c r="E2" t="s">
        <v>1585</v>
      </c>
      <c r="F2">
        <v>18</v>
      </c>
      <c r="G2">
        <v>39</v>
      </c>
      <c r="H2">
        <v>0</v>
      </c>
      <c r="I2">
        <v>10</v>
      </c>
      <c r="J2" t="b">
        <v>1</v>
      </c>
    </row>
    <row r="3" spans="1:10">
      <c r="A3">
        <v>2</v>
      </c>
      <c r="B3" t="s">
        <v>1586</v>
      </c>
      <c r="C3">
        <v>1</v>
      </c>
      <c r="D3">
        <v>1</v>
      </c>
      <c r="E3" t="s">
        <v>1587</v>
      </c>
      <c r="F3">
        <v>19</v>
      </c>
      <c r="G3">
        <v>17</v>
      </c>
      <c r="H3">
        <v>40</v>
      </c>
      <c r="I3">
        <v>25</v>
      </c>
      <c r="J3" t="b">
        <v>0</v>
      </c>
    </row>
    <row r="4" spans="1:10">
      <c r="A4">
        <v>3</v>
      </c>
      <c r="B4" t="s">
        <v>1588</v>
      </c>
      <c r="C4">
        <v>1</v>
      </c>
      <c r="D4">
        <v>2</v>
      </c>
      <c r="E4" t="s">
        <v>1589</v>
      </c>
      <c r="F4">
        <v>10</v>
      </c>
      <c r="G4">
        <v>13</v>
      </c>
      <c r="H4">
        <v>70</v>
      </c>
      <c r="I4">
        <v>25</v>
      </c>
      <c r="J4" t="b">
        <v>1</v>
      </c>
    </row>
    <row r="5" spans="1:10">
      <c r="A5">
        <v>4</v>
      </c>
      <c r="B5" t="s">
        <v>1590</v>
      </c>
      <c r="C5">
        <v>2</v>
      </c>
      <c r="D5">
        <v>2</v>
      </c>
      <c r="E5" t="s">
        <v>1591</v>
      </c>
      <c r="F5">
        <v>22</v>
      </c>
      <c r="G5">
        <v>53</v>
      </c>
      <c r="H5">
        <v>0</v>
      </c>
      <c r="I5">
        <v>0</v>
      </c>
      <c r="J5" t="b">
        <v>0</v>
      </c>
    </row>
    <row r="6" spans="1:10">
      <c r="A6">
        <v>5</v>
      </c>
      <c r="B6" t="s">
        <v>1592</v>
      </c>
      <c r="C6">
        <v>2</v>
      </c>
      <c r="D6">
        <v>2</v>
      </c>
      <c r="E6" t="s">
        <v>1593</v>
      </c>
      <c r="F6">
        <v>21.35</v>
      </c>
      <c r="G6">
        <v>0</v>
      </c>
      <c r="H6">
        <v>0</v>
      </c>
      <c r="I6">
        <v>0</v>
      </c>
      <c r="J6" t="b">
        <v>1</v>
      </c>
    </row>
    <row r="7" spans="1:10">
      <c r="A7">
        <v>6</v>
      </c>
      <c r="B7" t="s">
        <v>1594</v>
      </c>
      <c r="C7">
        <v>3</v>
      </c>
      <c r="D7">
        <v>2</v>
      </c>
      <c r="E7" t="s">
        <v>1595</v>
      </c>
      <c r="F7">
        <v>25</v>
      </c>
      <c r="G7">
        <v>120</v>
      </c>
      <c r="H7">
        <v>0</v>
      </c>
      <c r="I7">
        <v>25</v>
      </c>
      <c r="J7" t="b">
        <v>0</v>
      </c>
    </row>
    <row r="8" spans="1:10">
      <c r="A8">
        <v>7</v>
      </c>
      <c r="B8" t="s">
        <v>1596</v>
      </c>
      <c r="C8">
        <v>3</v>
      </c>
      <c r="D8">
        <v>7</v>
      </c>
      <c r="E8" t="s">
        <v>1597</v>
      </c>
      <c r="F8">
        <v>30</v>
      </c>
      <c r="G8">
        <v>15</v>
      </c>
      <c r="H8">
        <v>0</v>
      </c>
      <c r="I8">
        <v>10</v>
      </c>
      <c r="J8" t="b">
        <v>0</v>
      </c>
    </row>
    <row r="9" spans="1:10">
      <c r="A9">
        <v>8</v>
      </c>
      <c r="B9" t="s">
        <v>1598</v>
      </c>
      <c r="C9">
        <v>3</v>
      </c>
      <c r="D9">
        <v>2</v>
      </c>
      <c r="E9" t="s">
        <v>1599</v>
      </c>
      <c r="F9">
        <v>40</v>
      </c>
      <c r="G9">
        <v>6</v>
      </c>
      <c r="H9">
        <v>0</v>
      </c>
      <c r="I9">
        <v>0</v>
      </c>
      <c r="J9" t="b">
        <v>0</v>
      </c>
    </row>
    <row r="10" spans="1:10">
      <c r="A10">
        <v>9</v>
      </c>
      <c r="B10" t="s">
        <v>1600</v>
      </c>
      <c r="C10">
        <v>4</v>
      </c>
      <c r="D10">
        <v>6</v>
      </c>
      <c r="E10" t="s">
        <v>1601</v>
      </c>
      <c r="F10">
        <v>97</v>
      </c>
      <c r="G10">
        <v>29</v>
      </c>
      <c r="H10">
        <v>0</v>
      </c>
      <c r="I10">
        <v>0</v>
      </c>
      <c r="J10" t="b">
        <v>1</v>
      </c>
    </row>
    <row r="11" spans="1:10">
      <c r="A11">
        <v>10</v>
      </c>
      <c r="B11" t="s">
        <v>1602</v>
      </c>
      <c r="C11">
        <v>4</v>
      </c>
      <c r="D11">
        <v>8</v>
      </c>
      <c r="E11" t="s">
        <v>1603</v>
      </c>
      <c r="F11">
        <v>31</v>
      </c>
      <c r="G11">
        <v>31</v>
      </c>
      <c r="H11">
        <v>0</v>
      </c>
      <c r="I11">
        <v>0</v>
      </c>
      <c r="J11" t="b">
        <v>0</v>
      </c>
    </row>
    <row r="12" spans="1:10">
      <c r="A12">
        <v>11</v>
      </c>
      <c r="B12" t="s">
        <v>1604</v>
      </c>
      <c r="C12">
        <v>5</v>
      </c>
      <c r="D12">
        <v>4</v>
      </c>
      <c r="E12" t="s">
        <v>1605</v>
      </c>
      <c r="F12">
        <v>21</v>
      </c>
      <c r="G12">
        <v>22</v>
      </c>
      <c r="H12">
        <v>30</v>
      </c>
      <c r="I12">
        <v>30</v>
      </c>
      <c r="J12" t="b">
        <v>0</v>
      </c>
    </row>
    <row r="13" spans="1:10">
      <c r="A13">
        <v>12</v>
      </c>
      <c r="B13" t="s">
        <v>1606</v>
      </c>
      <c r="C13">
        <v>5</v>
      </c>
      <c r="D13">
        <v>4</v>
      </c>
      <c r="E13" t="s">
        <v>1607</v>
      </c>
      <c r="F13">
        <v>38</v>
      </c>
      <c r="G13">
        <v>86</v>
      </c>
      <c r="H13">
        <v>0</v>
      </c>
      <c r="I13">
        <v>0</v>
      </c>
      <c r="J13" t="b">
        <v>0</v>
      </c>
    </row>
    <row r="14" spans="1:10">
      <c r="A14">
        <v>13</v>
      </c>
      <c r="B14" t="s">
        <v>1608</v>
      </c>
      <c r="C14">
        <v>6</v>
      </c>
      <c r="D14">
        <v>8</v>
      </c>
      <c r="E14" t="s">
        <v>1609</v>
      </c>
      <c r="F14">
        <v>6</v>
      </c>
      <c r="G14">
        <v>24</v>
      </c>
      <c r="H14">
        <v>0</v>
      </c>
      <c r="I14">
        <v>5</v>
      </c>
      <c r="J14" t="b">
        <v>0</v>
      </c>
    </row>
    <row r="15" spans="1:10">
      <c r="A15">
        <v>14</v>
      </c>
      <c r="B15" t="s">
        <v>1610</v>
      </c>
      <c r="C15">
        <v>6</v>
      </c>
      <c r="D15">
        <v>7</v>
      </c>
      <c r="E15" t="s">
        <v>1611</v>
      </c>
      <c r="F15">
        <v>23.25</v>
      </c>
      <c r="G15">
        <v>35</v>
      </c>
      <c r="H15">
        <v>0</v>
      </c>
      <c r="I15">
        <v>0</v>
      </c>
      <c r="J15" t="b">
        <v>0</v>
      </c>
    </row>
    <row r="16" spans="1:10">
      <c r="A16">
        <v>15</v>
      </c>
      <c r="B16" t="s">
        <v>1612</v>
      </c>
      <c r="C16">
        <v>6</v>
      </c>
      <c r="D16">
        <v>2</v>
      </c>
      <c r="E16" t="s">
        <v>1613</v>
      </c>
      <c r="F16">
        <v>15.5</v>
      </c>
      <c r="G16">
        <v>39</v>
      </c>
      <c r="H16">
        <v>0</v>
      </c>
      <c r="I16">
        <v>5</v>
      </c>
      <c r="J16" t="b">
        <v>0</v>
      </c>
    </row>
    <row r="17" spans="1:10">
      <c r="A17">
        <v>16</v>
      </c>
      <c r="B17" t="s">
        <v>1614</v>
      </c>
      <c r="C17">
        <v>7</v>
      </c>
      <c r="D17">
        <v>3</v>
      </c>
      <c r="E17" t="s">
        <v>1615</v>
      </c>
      <c r="F17">
        <v>17.45</v>
      </c>
      <c r="G17">
        <v>29</v>
      </c>
      <c r="H17">
        <v>0</v>
      </c>
      <c r="I17">
        <v>10</v>
      </c>
      <c r="J17" t="b">
        <v>0</v>
      </c>
    </row>
    <row r="18" spans="1:10">
      <c r="A18">
        <v>17</v>
      </c>
      <c r="B18" t="s">
        <v>1616</v>
      </c>
      <c r="C18">
        <v>7</v>
      </c>
      <c r="D18">
        <v>6</v>
      </c>
      <c r="E18" t="s">
        <v>1617</v>
      </c>
      <c r="F18">
        <v>39</v>
      </c>
      <c r="G18">
        <v>0</v>
      </c>
      <c r="H18">
        <v>0</v>
      </c>
      <c r="I18">
        <v>2</v>
      </c>
      <c r="J18" t="b">
        <v>1</v>
      </c>
    </row>
    <row r="19" spans="1:10">
      <c r="A19">
        <v>18</v>
      </c>
      <c r="B19" t="s">
        <v>1618</v>
      </c>
      <c r="C19">
        <v>7</v>
      </c>
      <c r="D19">
        <v>8</v>
      </c>
      <c r="E19" t="s">
        <v>1619</v>
      </c>
      <c r="F19">
        <v>62.5</v>
      </c>
      <c r="G19">
        <v>42</v>
      </c>
      <c r="H19">
        <v>0</v>
      </c>
      <c r="I19">
        <v>0</v>
      </c>
      <c r="J19" t="b">
        <v>0</v>
      </c>
    </row>
    <row r="20" spans="1:10">
      <c r="A20">
        <v>19</v>
      </c>
      <c r="B20" t="s">
        <v>1620</v>
      </c>
      <c r="C20">
        <v>8</v>
      </c>
      <c r="D20">
        <v>3</v>
      </c>
      <c r="E20" t="s">
        <v>1621</v>
      </c>
      <c r="F20">
        <v>9.1999999999999993</v>
      </c>
      <c r="G20">
        <v>25</v>
      </c>
      <c r="H20">
        <v>0</v>
      </c>
      <c r="I20">
        <v>5</v>
      </c>
      <c r="J20" t="b">
        <v>0</v>
      </c>
    </row>
    <row r="21" spans="1:10">
      <c r="A21">
        <v>20</v>
      </c>
      <c r="B21" t="s">
        <v>1622</v>
      </c>
      <c r="C21">
        <v>8</v>
      </c>
      <c r="D21">
        <v>3</v>
      </c>
      <c r="E21" t="s">
        <v>1623</v>
      </c>
      <c r="F21">
        <v>81</v>
      </c>
      <c r="G21">
        <v>40</v>
      </c>
      <c r="H21">
        <v>0</v>
      </c>
      <c r="I21">
        <v>0</v>
      </c>
      <c r="J21" t="b">
        <v>0</v>
      </c>
    </row>
    <row r="22" spans="1:10">
      <c r="A22">
        <v>21</v>
      </c>
      <c r="B22" t="s">
        <v>1624</v>
      </c>
      <c r="C22">
        <v>8</v>
      </c>
      <c r="D22">
        <v>3</v>
      </c>
      <c r="E22" t="s">
        <v>1625</v>
      </c>
      <c r="F22">
        <v>10</v>
      </c>
      <c r="G22">
        <v>3</v>
      </c>
      <c r="H22">
        <v>40</v>
      </c>
      <c r="I22">
        <v>5</v>
      </c>
      <c r="J22" t="b">
        <v>0</v>
      </c>
    </row>
    <row r="23" spans="1:10">
      <c r="A23">
        <v>22</v>
      </c>
      <c r="B23" t="s">
        <v>1626</v>
      </c>
      <c r="C23">
        <v>9</v>
      </c>
      <c r="D23">
        <v>5</v>
      </c>
      <c r="E23" t="s">
        <v>1627</v>
      </c>
      <c r="F23">
        <v>21</v>
      </c>
      <c r="G23">
        <v>104</v>
      </c>
      <c r="H23">
        <v>0</v>
      </c>
      <c r="I23">
        <v>25</v>
      </c>
      <c r="J23" t="b">
        <v>0</v>
      </c>
    </row>
    <row r="24" spans="1:10">
      <c r="A24">
        <v>23</v>
      </c>
      <c r="B24" t="s">
        <v>1628</v>
      </c>
      <c r="C24">
        <v>9</v>
      </c>
      <c r="D24">
        <v>5</v>
      </c>
      <c r="E24" t="s">
        <v>1629</v>
      </c>
      <c r="F24">
        <v>9</v>
      </c>
      <c r="G24">
        <v>61</v>
      </c>
      <c r="H24">
        <v>0</v>
      </c>
      <c r="I24">
        <v>25</v>
      </c>
      <c r="J24" t="b">
        <v>0</v>
      </c>
    </row>
    <row r="25" spans="1:10">
      <c r="A25">
        <v>24</v>
      </c>
      <c r="B25" t="s">
        <v>1630</v>
      </c>
      <c r="C25">
        <v>10</v>
      </c>
      <c r="D25">
        <v>1</v>
      </c>
      <c r="E25" t="s">
        <v>1631</v>
      </c>
      <c r="F25">
        <v>4.5</v>
      </c>
      <c r="G25">
        <v>20</v>
      </c>
      <c r="H25">
        <v>0</v>
      </c>
      <c r="I25">
        <v>0</v>
      </c>
      <c r="J25" t="b">
        <v>1</v>
      </c>
    </row>
    <row r="26" spans="1:10">
      <c r="A26">
        <v>25</v>
      </c>
      <c r="B26" t="s">
        <v>1632</v>
      </c>
      <c r="C26">
        <v>11</v>
      </c>
      <c r="D26">
        <v>3</v>
      </c>
      <c r="E26" t="s">
        <v>1633</v>
      </c>
      <c r="F26">
        <v>14</v>
      </c>
      <c r="G26">
        <v>76</v>
      </c>
      <c r="H26">
        <v>0</v>
      </c>
      <c r="I26">
        <v>30</v>
      </c>
      <c r="J26" t="b">
        <v>0</v>
      </c>
    </row>
    <row r="27" spans="1:10">
      <c r="A27">
        <v>26</v>
      </c>
      <c r="B27" t="s">
        <v>1634</v>
      </c>
      <c r="C27">
        <v>11</v>
      </c>
      <c r="D27">
        <v>3</v>
      </c>
      <c r="E27" t="s">
        <v>1635</v>
      </c>
      <c r="F27">
        <v>31.23</v>
      </c>
      <c r="G27">
        <v>15</v>
      </c>
      <c r="H27">
        <v>0</v>
      </c>
      <c r="I27">
        <v>0</v>
      </c>
      <c r="J27" t="b">
        <v>0</v>
      </c>
    </row>
    <row r="28" spans="1:10">
      <c r="A28">
        <v>27</v>
      </c>
      <c r="B28" t="s">
        <v>1636</v>
      </c>
      <c r="C28">
        <v>11</v>
      </c>
      <c r="D28">
        <v>3</v>
      </c>
      <c r="E28" t="s">
        <v>1637</v>
      </c>
      <c r="F28">
        <v>43.9</v>
      </c>
      <c r="G28">
        <v>49</v>
      </c>
      <c r="H28">
        <v>0</v>
      </c>
      <c r="I28">
        <v>30</v>
      </c>
      <c r="J28" t="b">
        <v>0</v>
      </c>
    </row>
    <row r="29" spans="1:10">
      <c r="A29">
        <v>28</v>
      </c>
      <c r="B29" t="s">
        <v>1638</v>
      </c>
      <c r="C29">
        <v>12</v>
      </c>
      <c r="D29">
        <v>7</v>
      </c>
      <c r="E29" t="s">
        <v>1639</v>
      </c>
      <c r="F29">
        <v>45.6</v>
      </c>
      <c r="G29">
        <v>26</v>
      </c>
      <c r="H29">
        <v>0</v>
      </c>
      <c r="I29">
        <v>0</v>
      </c>
      <c r="J29" t="b">
        <v>1</v>
      </c>
    </row>
    <row r="30" spans="1:10">
      <c r="A30">
        <v>29</v>
      </c>
      <c r="B30" t="s">
        <v>1640</v>
      </c>
      <c r="C30">
        <v>12</v>
      </c>
      <c r="D30">
        <v>6</v>
      </c>
      <c r="E30" t="s">
        <v>1641</v>
      </c>
      <c r="F30">
        <v>123.79</v>
      </c>
      <c r="G30">
        <v>0</v>
      </c>
      <c r="H30">
        <v>0</v>
      </c>
      <c r="I30">
        <v>0</v>
      </c>
      <c r="J30" t="b">
        <v>1</v>
      </c>
    </row>
    <row r="31" spans="1:10">
      <c r="A31">
        <v>30</v>
      </c>
      <c r="B31" t="s">
        <v>1642</v>
      </c>
      <c r="C31">
        <v>13</v>
      </c>
      <c r="D31">
        <v>8</v>
      </c>
      <c r="E31" t="s">
        <v>1643</v>
      </c>
      <c r="F31">
        <v>25.89</v>
      </c>
      <c r="G31">
        <v>10</v>
      </c>
      <c r="H31">
        <v>0</v>
      </c>
      <c r="I31">
        <v>15</v>
      </c>
      <c r="J31" t="b">
        <v>0</v>
      </c>
    </row>
    <row r="32" spans="1:10">
      <c r="A32">
        <v>31</v>
      </c>
      <c r="B32" t="s">
        <v>1644</v>
      </c>
      <c r="C32">
        <v>14</v>
      </c>
      <c r="D32">
        <v>4</v>
      </c>
      <c r="E32" t="s">
        <v>1645</v>
      </c>
      <c r="F32">
        <v>12.5</v>
      </c>
      <c r="G32">
        <v>0</v>
      </c>
      <c r="H32">
        <v>70</v>
      </c>
      <c r="I32">
        <v>20</v>
      </c>
      <c r="J32" t="b">
        <v>0</v>
      </c>
    </row>
    <row r="33" spans="1:10">
      <c r="A33">
        <v>32</v>
      </c>
      <c r="B33" t="s">
        <v>1646</v>
      </c>
      <c r="C33">
        <v>14</v>
      </c>
      <c r="D33">
        <v>4</v>
      </c>
      <c r="E33" t="s">
        <v>1647</v>
      </c>
      <c r="F33">
        <v>32</v>
      </c>
      <c r="G33">
        <v>9</v>
      </c>
      <c r="H33">
        <v>40</v>
      </c>
      <c r="I33">
        <v>25</v>
      </c>
      <c r="J33" t="b">
        <v>0</v>
      </c>
    </row>
    <row r="34" spans="1:10">
      <c r="A34">
        <v>33</v>
      </c>
      <c r="B34" t="s">
        <v>1648</v>
      </c>
      <c r="C34">
        <v>15</v>
      </c>
      <c r="D34">
        <v>4</v>
      </c>
      <c r="E34" t="s">
        <v>1649</v>
      </c>
      <c r="F34">
        <v>2.5</v>
      </c>
      <c r="G34">
        <v>112</v>
      </c>
      <c r="H34">
        <v>0</v>
      </c>
      <c r="I34">
        <v>20</v>
      </c>
      <c r="J34" t="b">
        <v>0</v>
      </c>
    </row>
    <row r="35" spans="1:10">
      <c r="A35">
        <v>34</v>
      </c>
      <c r="B35" t="s">
        <v>1650</v>
      </c>
      <c r="C35">
        <v>16</v>
      </c>
      <c r="D35">
        <v>1</v>
      </c>
      <c r="E35" t="s">
        <v>1587</v>
      </c>
      <c r="F35">
        <v>14</v>
      </c>
      <c r="G35">
        <v>111</v>
      </c>
      <c r="H35">
        <v>0</v>
      </c>
      <c r="I35">
        <v>15</v>
      </c>
      <c r="J35" t="b">
        <v>0</v>
      </c>
    </row>
    <row r="36" spans="1:10">
      <c r="A36">
        <v>35</v>
      </c>
      <c r="B36" t="s">
        <v>1651</v>
      </c>
      <c r="C36">
        <v>16</v>
      </c>
      <c r="D36">
        <v>1</v>
      </c>
      <c r="E36" t="s">
        <v>1587</v>
      </c>
      <c r="F36">
        <v>18</v>
      </c>
      <c r="G36">
        <v>20</v>
      </c>
      <c r="H36">
        <v>0</v>
      </c>
      <c r="I36">
        <v>15</v>
      </c>
      <c r="J36" t="b">
        <v>0</v>
      </c>
    </row>
    <row r="37" spans="1:10">
      <c r="A37">
        <v>36</v>
      </c>
      <c r="B37" t="s">
        <v>1652</v>
      </c>
      <c r="C37">
        <v>17</v>
      </c>
      <c r="D37">
        <v>8</v>
      </c>
      <c r="E37" t="s">
        <v>1653</v>
      </c>
      <c r="F37">
        <v>19</v>
      </c>
      <c r="G37">
        <v>112</v>
      </c>
      <c r="H37">
        <v>0</v>
      </c>
      <c r="I37">
        <v>20</v>
      </c>
      <c r="J37" t="b">
        <v>0</v>
      </c>
    </row>
    <row r="38" spans="1:10">
      <c r="A38">
        <v>37</v>
      </c>
      <c r="B38" t="s">
        <v>1654</v>
      </c>
      <c r="C38">
        <v>17</v>
      </c>
      <c r="D38">
        <v>8</v>
      </c>
      <c r="E38" t="s">
        <v>1655</v>
      </c>
      <c r="F38">
        <v>26</v>
      </c>
      <c r="G38">
        <v>11</v>
      </c>
      <c r="H38">
        <v>50</v>
      </c>
      <c r="I38">
        <v>25</v>
      </c>
      <c r="J38" t="b">
        <v>0</v>
      </c>
    </row>
    <row r="39" spans="1:10">
      <c r="A39">
        <v>38</v>
      </c>
      <c r="B39" t="s">
        <v>1656</v>
      </c>
      <c r="C39">
        <v>18</v>
      </c>
      <c r="D39">
        <v>1</v>
      </c>
      <c r="E39" t="s">
        <v>1657</v>
      </c>
      <c r="F39">
        <v>263.5</v>
      </c>
      <c r="G39">
        <v>17</v>
      </c>
      <c r="H39">
        <v>0</v>
      </c>
      <c r="I39">
        <v>15</v>
      </c>
      <c r="J39" t="b">
        <v>0</v>
      </c>
    </row>
    <row r="40" spans="1:10">
      <c r="A40">
        <v>39</v>
      </c>
      <c r="B40" t="s">
        <v>1658</v>
      </c>
      <c r="C40">
        <v>18</v>
      </c>
      <c r="D40">
        <v>1</v>
      </c>
      <c r="E40" t="s">
        <v>1659</v>
      </c>
      <c r="F40">
        <v>18</v>
      </c>
      <c r="G40">
        <v>69</v>
      </c>
      <c r="H40">
        <v>0</v>
      </c>
      <c r="I40">
        <v>5</v>
      </c>
      <c r="J40" t="b">
        <v>0</v>
      </c>
    </row>
    <row r="41" spans="1:10">
      <c r="A41">
        <v>40</v>
      </c>
      <c r="B41" t="s">
        <v>1660</v>
      </c>
      <c r="C41">
        <v>19</v>
      </c>
      <c r="D41">
        <v>8</v>
      </c>
      <c r="E41" t="s">
        <v>1661</v>
      </c>
      <c r="F41">
        <v>18.399999999999999</v>
      </c>
      <c r="G41">
        <v>123</v>
      </c>
      <c r="H41">
        <v>0</v>
      </c>
      <c r="I41">
        <v>30</v>
      </c>
      <c r="J41" t="b">
        <v>0</v>
      </c>
    </row>
    <row r="42" spans="1:10">
      <c r="A42">
        <v>41</v>
      </c>
      <c r="B42" t="s">
        <v>1662</v>
      </c>
      <c r="C42">
        <v>19</v>
      </c>
      <c r="D42">
        <v>8</v>
      </c>
      <c r="E42" t="s">
        <v>1663</v>
      </c>
      <c r="F42">
        <v>9.65</v>
      </c>
      <c r="G42">
        <v>85</v>
      </c>
      <c r="H42">
        <v>0</v>
      </c>
      <c r="I42">
        <v>10</v>
      </c>
      <c r="J42" t="b">
        <v>0</v>
      </c>
    </row>
    <row r="43" spans="1:10">
      <c r="A43">
        <v>42</v>
      </c>
      <c r="B43" t="s">
        <v>1664</v>
      </c>
      <c r="C43">
        <v>20</v>
      </c>
      <c r="D43">
        <v>5</v>
      </c>
      <c r="E43" t="s">
        <v>1665</v>
      </c>
      <c r="F43">
        <v>14</v>
      </c>
      <c r="G43">
        <v>26</v>
      </c>
      <c r="H43">
        <v>0</v>
      </c>
      <c r="I43">
        <v>0</v>
      </c>
      <c r="J43" t="b">
        <v>1</v>
      </c>
    </row>
    <row r="44" spans="1:10">
      <c r="A44">
        <v>43</v>
      </c>
      <c r="B44" t="s">
        <v>1666</v>
      </c>
      <c r="C44">
        <v>20</v>
      </c>
      <c r="D44">
        <v>1</v>
      </c>
      <c r="E44" t="s">
        <v>1667</v>
      </c>
      <c r="F44">
        <v>46</v>
      </c>
      <c r="G44">
        <v>17</v>
      </c>
      <c r="H44">
        <v>10</v>
      </c>
      <c r="I44">
        <v>25</v>
      </c>
      <c r="J44" t="b">
        <v>0</v>
      </c>
    </row>
    <row r="45" spans="1:10">
      <c r="A45">
        <v>44</v>
      </c>
      <c r="B45" t="s">
        <v>1668</v>
      </c>
      <c r="C45">
        <v>20</v>
      </c>
      <c r="D45">
        <v>2</v>
      </c>
      <c r="E45" t="s">
        <v>1669</v>
      </c>
      <c r="F45">
        <v>19.45</v>
      </c>
      <c r="G45">
        <v>27</v>
      </c>
      <c r="H45">
        <v>0</v>
      </c>
      <c r="I45">
        <v>15</v>
      </c>
      <c r="J45" t="b">
        <v>0</v>
      </c>
    </row>
    <row r="46" spans="1:10">
      <c r="A46">
        <v>45</v>
      </c>
      <c r="B46" t="s">
        <v>1670</v>
      </c>
      <c r="C46">
        <v>21</v>
      </c>
      <c r="D46">
        <v>8</v>
      </c>
      <c r="E46" t="s">
        <v>1605</v>
      </c>
      <c r="F46">
        <v>9.5</v>
      </c>
      <c r="G46">
        <v>5</v>
      </c>
      <c r="H46">
        <v>70</v>
      </c>
      <c r="I46">
        <v>15</v>
      </c>
      <c r="J46" t="b">
        <v>0</v>
      </c>
    </row>
    <row r="47" spans="1:10">
      <c r="A47">
        <v>46</v>
      </c>
      <c r="B47" t="s">
        <v>1671</v>
      </c>
      <c r="C47">
        <v>21</v>
      </c>
      <c r="D47">
        <v>8</v>
      </c>
      <c r="E47" t="s">
        <v>1672</v>
      </c>
      <c r="F47">
        <v>12</v>
      </c>
      <c r="G47">
        <v>95</v>
      </c>
      <c r="H47">
        <v>0</v>
      </c>
      <c r="I47">
        <v>0</v>
      </c>
      <c r="J47" t="b">
        <v>0</v>
      </c>
    </row>
    <row r="48" spans="1:10">
      <c r="A48">
        <v>47</v>
      </c>
      <c r="B48" t="s">
        <v>1673</v>
      </c>
      <c r="C48">
        <v>22</v>
      </c>
      <c r="D48">
        <v>3</v>
      </c>
      <c r="E48" t="s">
        <v>1674</v>
      </c>
      <c r="F48">
        <v>9.5</v>
      </c>
      <c r="G48">
        <v>36</v>
      </c>
      <c r="H48">
        <v>0</v>
      </c>
      <c r="I48">
        <v>0</v>
      </c>
      <c r="J48" t="b">
        <v>0</v>
      </c>
    </row>
    <row r="49" spans="1:10">
      <c r="A49">
        <v>48</v>
      </c>
      <c r="B49" t="s">
        <v>1675</v>
      </c>
      <c r="C49">
        <v>22</v>
      </c>
      <c r="D49">
        <v>3</v>
      </c>
      <c r="E49" t="s">
        <v>1676</v>
      </c>
      <c r="F49">
        <v>12.75</v>
      </c>
      <c r="G49">
        <v>15</v>
      </c>
      <c r="H49">
        <v>70</v>
      </c>
      <c r="I49">
        <v>25</v>
      </c>
      <c r="J49" t="b">
        <v>0</v>
      </c>
    </row>
    <row r="50" spans="1:10">
      <c r="A50">
        <v>49</v>
      </c>
      <c r="B50" t="s">
        <v>1677</v>
      </c>
      <c r="C50">
        <v>23</v>
      </c>
      <c r="D50">
        <v>3</v>
      </c>
      <c r="E50" t="s">
        <v>1678</v>
      </c>
      <c r="F50">
        <v>20</v>
      </c>
      <c r="G50">
        <v>10</v>
      </c>
      <c r="H50">
        <v>60</v>
      </c>
      <c r="I50">
        <v>15</v>
      </c>
      <c r="J50" t="b">
        <v>0</v>
      </c>
    </row>
    <row r="51" spans="1:10">
      <c r="A51">
        <v>50</v>
      </c>
      <c r="B51" t="s">
        <v>1679</v>
      </c>
      <c r="C51">
        <v>23</v>
      </c>
      <c r="D51">
        <v>3</v>
      </c>
      <c r="E51" t="s">
        <v>1680</v>
      </c>
      <c r="F51">
        <v>16.25</v>
      </c>
      <c r="G51">
        <v>65</v>
      </c>
      <c r="H51">
        <v>0</v>
      </c>
      <c r="I51">
        <v>30</v>
      </c>
      <c r="J51" t="b">
        <v>0</v>
      </c>
    </row>
    <row r="52" spans="1:10">
      <c r="A52">
        <v>51</v>
      </c>
      <c r="B52" t="s">
        <v>1681</v>
      </c>
      <c r="C52">
        <v>24</v>
      </c>
      <c r="D52">
        <v>7</v>
      </c>
      <c r="E52" t="s">
        <v>1682</v>
      </c>
      <c r="F52">
        <v>53</v>
      </c>
      <c r="G52">
        <v>20</v>
      </c>
      <c r="H52">
        <v>0</v>
      </c>
      <c r="I52">
        <v>10</v>
      </c>
      <c r="J52" t="b">
        <v>0</v>
      </c>
    </row>
    <row r="53" spans="1:10">
      <c r="A53">
        <v>52</v>
      </c>
      <c r="B53" t="s">
        <v>1683</v>
      </c>
      <c r="C53">
        <v>24</v>
      </c>
      <c r="D53">
        <v>5</v>
      </c>
      <c r="E53" t="s">
        <v>1684</v>
      </c>
      <c r="F53">
        <v>7</v>
      </c>
      <c r="G53">
        <v>38</v>
      </c>
      <c r="H53">
        <v>0</v>
      </c>
      <c r="I53">
        <v>25</v>
      </c>
      <c r="J53" t="b">
        <v>0</v>
      </c>
    </row>
    <row r="54" spans="1:10">
      <c r="A54">
        <v>53</v>
      </c>
      <c r="B54" t="s">
        <v>1685</v>
      </c>
      <c r="C54">
        <v>24</v>
      </c>
      <c r="D54">
        <v>6</v>
      </c>
      <c r="E54" t="s">
        <v>1686</v>
      </c>
      <c r="F54">
        <v>32.799999999999997</v>
      </c>
      <c r="G54">
        <v>0</v>
      </c>
      <c r="H54">
        <v>0</v>
      </c>
      <c r="I54">
        <v>0</v>
      </c>
      <c r="J54" t="b">
        <v>1</v>
      </c>
    </row>
    <row r="55" spans="1:10">
      <c r="A55">
        <v>54</v>
      </c>
      <c r="B55" t="s">
        <v>1687</v>
      </c>
      <c r="C55">
        <v>25</v>
      </c>
      <c r="D55">
        <v>6</v>
      </c>
      <c r="E55" t="s">
        <v>1688</v>
      </c>
      <c r="F55">
        <v>7.45</v>
      </c>
      <c r="G55">
        <v>21</v>
      </c>
      <c r="H55">
        <v>0</v>
      </c>
      <c r="I55">
        <v>10</v>
      </c>
      <c r="J55" t="b">
        <v>0</v>
      </c>
    </row>
    <row r="56" spans="1:10">
      <c r="A56">
        <v>55</v>
      </c>
      <c r="B56" t="s">
        <v>1689</v>
      </c>
      <c r="C56">
        <v>25</v>
      </c>
      <c r="D56">
        <v>6</v>
      </c>
      <c r="E56" t="s">
        <v>1690</v>
      </c>
      <c r="F56">
        <v>24</v>
      </c>
      <c r="G56">
        <v>115</v>
      </c>
      <c r="H56">
        <v>0</v>
      </c>
      <c r="I56">
        <v>20</v>
      </c>
      <c r="J56" t="b">
        <v>0</v>
      </c>
    </row>
    <row r="57" spans="1:10">
      <c r="A57">
        <v>56</v>
      </c>
      <c r="B57" t="s">
        <v>1691</v>
      </c>
      <c r="C57">
        <v>26</v>
      </c>
      <c r="D57">
        <v>5</v>
      </c>
      <c r="E57" t="s">
        <v>1692</v>
      </c>
      <c r="F57">
        <v>38</v>
      </c>
      <c r="G57">
        <v>21</v>
      </c>
      <c r="H57">
        <v>10</v>
      </c>
      <c r="I57">
        <v>30</v>
      </c>
      <c r="J57" t="b">
        <v>0</v>
      </c>
    </row>
    <row r="58" spans="1:10">
      <c r="A58">
        <v>57</v>
      </c>
      <c r="B58" t="s">
        <v>1693</v>
      </c>
      <c r="C58">
        <v>26</v>
      </c>
      <c r="D58">
        <v>5</v>
      </c>
      <c r="E58" t="s">
        <v>1692</v>
      </c>
      <c r="F58">
        <v>19.5</v>
      </c>
      <c r="G58">
        <v>36</v>
      </c>
      <c r="H58">
        <v>0</v>
      </c>
      <c r="I58">
        <v>20</v>
      </c>
      <c r="J58" t="b">
        <v>0</v>
      </c>
    </row>
    <row r="59" spans="1:10">
      <c r="A59">
        <v>58</v>
      </c>
      <c r="B59" t="s">
        <v>1694</v>
      </c>
      <c r="C59">
        <v>27</v>
      </c>
      <c r="D59">
        <v>8</v>
      </c>
      <c r="E59" t="s">
        <v>1695</v>
      </c>
      <c r="F59">
        <v>13.25</v>
      </c>
      <c r="G59">
        <v>62</v>
      </c>
      <c r="H59">
        <v>0</v>
      </c>
      <c r="I59">
        <v>20</v>
      </c>
      <c r="J59" t="b">
        <v>0</v>
      </c>
    </row>
    <row r="60" spans="1:10">
      <c r="A60">
        <v>59</v>
      </c>
      <c r="B60" t="s">
        <v>1696</v>
      </c>
      <c r="C60">
        <v>28</v>
      </c>
      <c r="D60">
        <v>4</v>
      </c>
      <c r="E60" t="s">
        <v>1697</v>
      </c>
      <c r="F60">
        <v>55</v>
      </c>
      <c r="G60">
        <v>79</v>
      </c>
      <c r="H60">
        <v>0</v>
      </c>
      <c r="I60">
        <v>0</v>
      </c>
      <c r="J60" t="b">
        <v>0</v>
      </c>
    </row>
    <row r="61" spans="1:10">
      <c r="A61">
        <v>60</v>
      </c>
      <c r="B61" t="s">
        <v>1698</v>
      </c>
      <c r="C61">
        <v>28</v>
      </c>
      <c r="D61">
        <v>4</v>
      </c>
      <c r="E61" t="s">
        <v>1699</v>
      </c>
      <c r="F61">
        <v>34</v>
      </c>
      <c r="G61">
        <v>19</v>
      </c>
      <c r="H61">
        <v>0</v>
      </c>
      <c r="I61">
        <v>0</v>
      </c>
      <c r="J61" t="b">
        <v>0</v>
      </c>
    </row>
    <row r="62" spans="1:10">
      <c r="A62">
        <v>61</v>
      </c>
      <c r="B62" t="s">
        <v>1700</v>
      </c>
      <c r="C62">
        <v>29</v>
      </c>
      <c r="D62">
        <v>2</v>
      </c>
      <c r="E62" t="s">
        <v>1701</v>
      </c>
      <c r="F62">
        <v>28.5</v>
      </c>
      <c r="G62">
        <v>113</v>
      </c>
      <c r="H62">
        <v>0</v>
      </c>
      <c r="I62">
        <v>25</v>
      </c>
      <c r="J62" t="b">
        <v>0</v>
      </c>
    </row>
    <row r="63" spans="1:10">
      <c r="A63">
        <v>62</v>
      </c>
      <c r="B63" t="s">
        <v>1702</v>
      </c>
      <c r="C63">
        <v>29</v>
      </c>
      <c r="D63">
        <v>3</v>
      </c>
      <c r="E63" t="s">
        <v>1686</v>
      </c>
      <c r="F63">
        <v>49.3</v>
      </c>
      <c r="G63">
        <v>17</v>
      </c>
      <c r="H63">
        <v>0</v>
      </c>
      <c r="I63">
        <v>0</v>
      </c>
      <c r="J63" t="b">
        <v>0</v>
      </c>
    </row>
    <row r="64" spans="1:10">
      <c r="A64">
        <v>63</v>
      </c>
      <c r="B64" t="s">
        <v>1703</v>
      </c>
      <c r="C64">
        <v>7</v>
      </c>
      <c r="D64">
        <v>2</v>
      </c>
      <c r="E64" t="s">
        <v>1704</v>
      </c>
      <c r="F64">
        <v>43.9</v>
      </c>
      <c r="G64">
        <v>24</v>
      </c>
      <c r="H64">
        <v>0</v>
      </c>
      <c r="I64">
        <v>5</v>
      </c>
      <c r="J64" t="b">
        <v>0</v>
      </c>
    </row>
    <row r="65" spans="1:10">
      <c r="A65">
        <v>64</v>
      </c>
      <c r="B65" t="s">
        <v>1705</v>
      </c>
      <c r="C65">
        <v>12</v>
      </c>
      <c r="D65">
        <v>5</v>
      </c>
      <c r="E65" t="s">
        <v>1706</v>
      </c>
      <c r="F65">
        <v>33.25</v>
      </c>
      <c r="G65">
        <v>22</v>
      </c>
      <c r="H65">
        <v>80</v>
      </c>
      <c r="I65">
        <v>30</v>
      </c>
      <c r="J65" t="b">
        <v>0</v>
      </c>
    </row>
    <row r="66" spans="1:10">
      <c r="A66">
        <v>65</v>
      </c>
      <c r="B66" t="s">
        <v>1707</v>
      </c>
      <c r="C66">
        <v>2</v>
      </c>
      <c r="D66">
        <v>2</v>
      </c>
      <c r="E66" t="s">
        <v>1708</v>
      </c>
      <c r="F66">
        <v>21.05</v>
      </c>
      <c r="G66">
        <v>76</v>
      </c>
      <c r="H66">
        <v>0</v>
      </c>
      <c r="I66">
        <v>0</v>
      </c>
      <c r="J66" t="b">
        <v>0</v>
      </c>
    </row>
    <row r="67" spans="1:10">
      <c r="A67">
        <v>66</v>
      </c>
      <c r="B67" t="s">
        <v>1709</v>
      </c>
      <c r="C67">
        <v>2</v>
      </c>
      <c r="D67">
        <v>2</v>
      </c>
      <c r="E67" t="s">
        <v>1710</v>
      </c>
      <c r="F67">
        <v>17</v>
      </c>
      <c r="G67">
        <v>4</v>
      </c>
      <c r="H67">
        <v>100</v>
      </c>
      <c r="I67">
        <v>20</v>
      </c>
      <c r="J67" t="b">
        <v>0</v>
      </c>
    </row>
    <row r="68" spans="1:10">
      <c r="A68">
        <v>67</v>
      </c>
      <c r="B68" t="s">
        <v>1711</v>
      </c>
      <c r="C68">
        <v>16</v>
      </c>
      <c r="D68">
        <v>1</v>
      </c>
      <c r="E68" t="s">
        <v>1587</v>
      </c>
      <c r="F68">
        <v>14</v>
      </c>
      <c r="G68">
        <v>52</v>
      </c>
      <c r="H68">
        <v>0</v>
      </c>
      <c r="I68">
        <v>10</v>
      </c>
      <c r="J68" t="b">
        <v>0</v>
      </c>
    </row>
    <row r="69" spans="1:10">
      <c r="A69">
        <v>68</v>
      </c>
      <c r="B69" t="s">
        <v>1712</v>
      </c>
      <c r="C69">
        <v>8</v>
      </c>
      <c r="D69">
        <v>3</v>
      </c>
      <c r="E69" t="s">
        <v>1713</v>
      </c>
      <c r="F69">
        <v>12.5</v>
      </c>
      <c r="G69">
        <v>6</v>
      </c>
      <c r="H69">
        <v>10</v>
      </c>
      <c r="I69">
        <v>15</v>
      </c>
      <c r="J69" t="b">
        <v>0</v>
      </c>
    </row>
    <row r="70" spans="1:10">
      <c r="A70">
        <v>69</v>
      </c>
      <c r="B70" t="s">
        <v>1714</v>
      </c>
      <c r="C70">
        <v>15</v>
      </c>
      <c r="D70">
        <v>4</v>
      </c>
      <c r="E70" t="s">
        <v>1715</v>
      </c>
      <c r="F70">
        <v>36</v>
      </c>
      <c r="G70">
        <v>26</v>
      </c>
      <c r="H70">
        <v>0</v>
      </c>
      <c r="I70">
        <v>15</v>
      </c>
      <c r="J70" t="b">
        <v>0</v>
      </c>
    </row>
    <row r="71" spans="1:10">
      <c r="A71">
        <v>70</v>
      </c>
      <c r="B71" t="s">
        <v>1716</v>
      </c>
      <c r="C71">
        <v>7</v>
      </c>
      <c r="D71">
        <v>1</v>
      </c>
      <c r="E71" t="s">
        <v>1717</v>
      </c>
      <c r="F71">
        <v>15</v>
      </c>
      <c r="G71">
        <v>15</v>
      </c>
      <c r="H71">
        <v>10</v>
      </c>
      <c r="I71">
        <v>30</v>
      </c>
      <c r="J71" t="b">
        <v>0</v>
      </c>
    </row>
    <row r="72" spans="1:10">
      <c r="A72">
        <v>71</v>
      </c>
      <c r="B72" t="s">
        <v>1718</v>
      </c>
      <c r="C72">
        <v>15</v>
      </c>
      <c r="D72">
        <v>4</v>
      </c>
      <c r="E72" t="s">
        <v>1607</v>
      </c>
      <c r="F72">
        <v>21.5</v>
      </c>
      <c r="G72">
        <v>26</v>
      </c>
      <c r="H72">
        <v>0</v>
      </c>
      <c r="I72">
        <v>0</v>
      </c>
      <c r="J72" t="b">
        <v>0</v>
      </c>
    </row>
    <row r="73" spans="1:10">
      <c r="A73">
        <v>72</v>
      </c>
      <c r="B73" t="s">
        <v>1719</v>
      </c>
      <c r="C73">
        <v>14</v>
      </c>
      <c r="D73">
        <v>4</v>
      </c>
      <c r="E73" t="s">
        <v>1647</v>
      </c>
      <c r="F73">
        <v>34.799999999999997</v>
      </c>
      <c r="G73">
        <v>14</v>
      </c>
      <c r="H73">
        <v>0</v>
      </c>
      <c r="I73">
        <v>0</v>
      </c>
      <c r="J73" t="b">
        <v>0</v>
      </c>
    </row>
    <row r="74" spans="1:10">
      <c r="A74">
        <v>73</v>
      </c>
      <c r="B74" t="s">
        <v>1720</v>
      </c>
      <c r="C74">
        <v>17</v>
      </c>
      <c r="D74">
        <v>8</v>
      </c>
      <c r="E74" t="s">
        <v>1721</v>
      </c>
      <c r="F74">
        <v>15</v>
      </c>
      <c r="G74">
        <v>101</v>
      </c>
      <c r="H74">
        <v>0</v>
      </c>
      <c r="I74">
        <v>5</v>
      </c>
      <c r="J74" t="b">
        <v>0</v>
      </c>
    </row>
    <row r="75" spans="1:10">
      <c r="A75">
        <v>74</v>
      </c>
      <c r="B75" t="s">
        <v>1722</v>
      </c>
      <c r="C75">
        <v>4</v>
      </c>
      <c r="D75">
        <v>7</v>
      </c>
      <c r="E75" t="s">
        <v>1697</v>
      </c>
      <c r="F75">
        <v>10</v>
      </c>
      <c r="G75">
        <v>4</v>
      </c>
      <c r="H75">
        <v>20</v>
      </c>
      <c r="I75">
        <v>5</v>
      </c>
      <c r="J75" t="b">
        <v>0</v>
      </c>
    </row>
    <row r="76" spans="1:10">
      <c r="A76">
        <v>75</v>
      </c>
      <c r="B76" t="s">
        <v>1723</v>
      </c>
      <c r="C76">
        <v>12</v>
      </c>
      <c r="D76">
        <v>1</v>
      </c>
      <c r="E76" t="s">
        <v>1701</v>
      </c>
      <c r="F76">
        <v>7.75</v>
      </c>
      <c r="G76">
        <v>125</v>
      </c>
      <c r="H76">
        <v>0</v>
      </c>
      <c r="I76">
        <v>25</v>
      </c>
      <c r="J76" t="b">
        <v>0</v>
      </c>
    </row>
    <row r="77" spans="1:10">
      <c r="A77">
        <v>76</v>
      </c>
      <c r="B77" t="s">
        <v>1724</v>
      </c>
      <c r="C77">
        <v>23</v>
      </c>
      <c r="D77">
        <v>1</v>
      </c>
      <c r="E77" t="s">
        <v>1725</v>
      </c>
      <c r="F77">
        <v>18</v>
      </c>
      <c r="G77">
        <v>57</v>
      </c>
      <c r="H77">
        <v>0</v>
      </c>
      <c r="I77">
        <v>20</v>
      </c>
      <c r="J77" t="b">
        <v>0</v>
      </c>
    </row>
    <row r="78" spans="1:10">
      <c r="A78">
        <v>77</v>
      </c>
      <c r="B78" t="s">
        <v>1726</v>
      </c>
      <c r="C78">
        <v>12</v>
      </c>
      <c r="D78">
        <v>2</v>
      </c>
      <c r="E78" t="s">
        <v>1727</v>
      </c>
      <c r="F78">
        <v>13</v>
      </c>
      <c r="G78">
        <v>32</v>
      </c>
      <c r="H78">
        <v>0</v>
      </c>
      <c r="I78">
        <v>15</v>
      </c>
      <c r="J78" t="b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>
    <outlinePr summaryBelow="0"/>
  </sheetPr>
  <dimension ref="B1:F18"/>
  <sheetViews>
    <sheetView showGridLines="0" workbookViewId="0"/>
  </sheetViews>
  <sheetFormatPr defaultRowHeight="15" outlineLevelRow="1" outlineLevelCol="1"/>
  <cols>
    <col min="3" max="3" width="5.42578125" customWidth="1"/>
    <col min="4" max="6" width="12.85546875" bestFit="1" customWidth="1" outlineLevel="1"/>
  </cols>
  <sheetData>
    <row r="1" spans="2:6" ht="15.75" thickBot="1"/>
    <row r="2" spans="2:6" ht="15.75">
      <c r="B2" s="218" t="s">
        <v>1738</v>
      </c>
      <c r="C2" s="218"/>
      <c r="D2" s="223"/>
      <c r="E2" s="223"/>
      <c r="F2" s="223"/>
    </row>
    <row r="3" spans="2:6" ht="15.75" collapsed="1">
      <c r="B3" s="217"/>
      <c r="C3" s="217"/>
      <c r="D3" s="224" t="s">
        <v>1740</v>
      </c>
      <c r="E3" s="224" t="s">
        <v>814</v>
      </c>
      <c r="F3" s="224" t="s">
        <v>1130</v>
      </c>
    </row>
    <row r="4" spans="2:6" ht="56.25" hidden="1" outlineLevel="1">
      <c r="B4" s="220"/>
      <c r="C4" s="220"/>
      <c r="D4" s="215"/>
      <c r="E4" s="226" t="s">
        <v>1736</v>
      </c>
      <c r="F4" s="226" t="s">
        <v>1737</v>
      </c>
    </row>
    <row r="5" spans="2:6">
      <c r="B5" s="221" t="s">
        <v>1739</v>
      </c>
      <c r="C5" s="221"/>
      <c r="D5" s="219"/>
      <c r="E5" s="219"/>
      <c r="F5" s="219"/>
    </row>
    <row r="6" spans="2:6" outlineLevel="1">
      <c r="B6" s="220"/>
      <c r="C6" s="220" t="s">
        <v>1728</v>
      </c>
      <c r="D6" s="215">
        <v>10</v>
      </c>
      <c r="E6" s="225">
        <v>10</v>
      </c>
      <c r="F6" s="225">
        <v>6</v>
      </c>
    </row>
    <row r="7" spans="2:6" outlineLevel="1">
      <c r="B7" s="220"/>
      <c r="C7" s="220" t="s">
        <v>1729</v>
      </c>
      <c r="D7" s="215">
        <v>12</v>
      </c>
      <c r="E7" s="225">
        <v>12</v>
      </c>
      <c r="F7" s="225">
        <v>5</v>
      </c>
    </row>
    <row r="8" spans="2:6" outlineLevel="1">
      <c r="B8" s="220"/>
      <c r="C8" s="220" t="s">
        <v>1730</v>
      </c>
      <c r="D8" s="215">
        <v>10</v>
      </c>
      <c r="E8" s="225">
        <v>10</v>
      </c>
      <c r="F8" s="225">
        <v>4</v>
      </c>
    </row>
    <row r="9" spans="2:6" outlineLevel="1">
      <c r="B9" s="220"/>
      <c r="C9" s="220" t="s">
        <v>1731</v>
      </c>
      <c r="D9" s="215">
        <v>14</v>
      </c>
      <c r="E9" s="225">
        <v>14</v>
      </c>
      <c r="F9" s="225">
        <v>6</v>
      </c>
    </row>
    <row r="10" spans="2:6" outlineLevel="1">
      <c r="B10" s="220"/>
      <c r="C10" s="220" t="s">
        <v>1732</v>
      </c>
      <c r="D10" s="215">
        <v>12</v>
      </c>
      <c r="E10" s="225">
        <v>12</v>
      </c>
      <c r="F10" s="225">
        <v>8</v>
      </c>
    </row>
    <row r="11" spans="2:6" outlineLevel="1">
      <c r="B11" s="220"/>
      <c r="C11" s="220" t="s">
        <v>1733</v>
      </c>
      <c r="D11" s="215">
        <v>16</v>
      </c>
      <c r="E11" s="225">
        <v>16</v>
      </c>
      <c r="F11" s="225">
        <v>16</v>
      </c>
    </row>
    <row r="12" spans="2:6" outlineLevel="1">
      <c r="B12" s="220"/>
      <c r="C12" s="220" t="s">
        <v>1734</v>
      </c>
      <c r="D12" s="215">
        <v>3.8</v>
      </c>
      <c r="E12" s="225">
        <v>3.8</v>
      </c>
      <c r="F12" s="225">
        <v>1.9</v>
      </c>
    </row>
    <row r="13" spans="2:6" outlineLevel="1">
      <c r="B13" s="220"/>
      <c r="C13" s="220" t="s">
        <v>1735</v>
      </c>
      <c r="D13" s="215">
        <v>3.2</v>
      </c>
      <c r="E13" s="225">
        <v>3.2</v>
      </c>
      <c r="F13" s="225">
        <v>1.2</v>
      </c>
    </row>
    <row r="14" spans="2:6">
      <c r="B14" s="221" t="s">
        <v>1741</v>
      </c>
      <c r="C14" s="221"/>
      <c r="D14" s="219"/>
      <c r="E14" s="219"/>
      <c r="F14" s="219"/>
    </row>
    <row r="15" spans="2:6" ht="15.75" outlineLevel="1" thickBot="1">
      <c r="B15" s="222"/>
      <c r="C15" s="222" t="s">
        <v>1128</v>
      </c>
      <c r="D15" s="216">
        <v>33600</v>
      </c>
      <c r="E15" s="216">
        <v>33600</v>
      </c>
      <c r="F15" s="216">
        <v>12180</v>
      </c>
    </row>
    <row r="16" spans="2:6">
      <c r="B16" t="s">
        <v>1742</v>
      </c>
    </row>
    <row r="17" spans="2:2">
      <c r="B17" t="s">
        <v>1743</v>
      </c>
    </row>
    <row r="18" spans="2:2">
      <c r="B18" t="s">
        <v>1744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B5"/>
  <sheetViews>
    <sheetView workbookViewId="0"/>
  </sheetViews>
  <sheetFormatPr defaultRowHeight="15"/>
  <cols>
    <col min="1" max="1" width="22.5703125" bestFit="1" customWidth="1"/>
  </cols>
  <sheetData>
    <row r="1" spans="1:2">
      <c r="A1" s="52" t="s">
        <v>1745</v>
      </c>
      <c r="B1" t="s">
        <v>1131</v>
      </c>
    </row>
    <row r="3" spans="1:2">
      <c r="A3" s="52" t="s">
        <v>1129</v>
      </c>
      <c r="B3" t="s">
        <v>1128</v>
      </c>
    </row>
    <row r="4" spans="1:2">
      <c r="A4" s="53" t="s">
        <v>814</v>
      </c>
      <c r="B4" s="54">
        <v>33600</v>
      </c>
    </row>
    <row r="5" spans="1:2">
      <c r="A5" s="53" t="s">
        <v>1130</v>
      </c>
      <c r="B5" s="54">
        <v>12180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1"/>
  <dimension ref="A1:J8"/>
  <sheetViews>
    <sheetView workbookViewId="0">
      <selection activeCell="E3" sqref="E3"/>
    </sheetView>
  </sheetViews>
  <sheetFormatPr defaultRowHeight="15"/>
  <cols>
    <col min="1" max="1" width="10.85546875" style="19" bestFit="1" customWidth="1"/>
    <col min="2" max="2" width="11.28515625" style="19" bestFit="1" customWidth="1"/>
    <col min="3" max="3" width="10.140625" style="19" bestFit="1" customWidth="1"/>
    <col min="4" max="4" width="8.5703125" style="19" bestFit="1" customWidth="1"/>
    <col min="5" max="5" width="10.42578125" style="19" customWidth="1"/>
    <col min="6" max="6" width="13.28515625" style="19" customWidth="1"/>
    <col min="7" max="7" width="14" style="19" customWidth="1"/>
    <col min="8" max="8" width="9.140625" style="19"/>
    <col min="9" max="9" width="14.140625" style="19" customWidth="1"/>
    <col min="10" max="10" width="6.85546875" style="19" customWidth="1"/>
    <col min="11" max="16384" width="9.140625" style="19"/>
  </cols>
  <sheetData>
    <row r="1" spans="1:10" ht="16.5" thickBot="1">
      <c r="A1" s="235" t="s">
        <v>813</v>
      </c>
      <c r="B1" s="236"/>
      <c r="C1" s="236"/>
      <c r="D1" s="236"/>
      <c r="E1" s="236"/>
      <c r="F1" s="237"/>
      <c r="G1" s="238"/>
      <c r="I1" s="239" t="s">
        <v>1134</v>
      </c>
      <c r="J1" s="240"/>
    </row>
    <row r="2" spans="1:10">
      <c r="A2" s="190" t="s">
        <v>815</v>
      </c>
      <c r="B2" s="191" t="s">
        <v>816</v>
      </c>
      <c r="C2" s="191" t="s">
        <v>765</v>
      </c>
      <c r="D2" s="191" t="s">
        <v>817</v>
      </c>
      <c r="E2" s="191" t="s">
        <v>818</v>
      </c>
      <c r="F2" s="192" t="s">
        <v>819</v>
      </c>
      <c r="G2" s="193" t="s">
        <v>820</v>
      </c>
      <c r="I2" s="241" t="s">
        <v>1135</v>
      </c>
      <c r="J2" s="242"/>
    </row>
    <row r="3" spans="1:10">
      <c r="A3" s="243" t="s">
        <v>821</v>
      </c>
      <c r="B3" s="194" t="s">
        <v>822</v>
      </c>
      <c r="C3" s="194" t="s">
        <v>823</v>
      </c>
      <c r="D3" s="183">
        <v>10</v>
      </c>
      <c r="E3" s="183">
        <v>700</v>
      </c>
      <c r="F3" s="198">
        <f>E3*(1+$J$3)</f>
        <v>3360</v>
      </c>
      <c r="G3" s="185">
        <f>F3*D3</f>
        <v>33600</v>
      </c>
      <c r="I3" s="184" t="s">
        <v>821</v>
      </c>
      <c r="J3" s="185">
        <v>3.8</v>
      </c>
    </row>
    <row r="4" spans="1:10" ht="15.75" thickBot="1">
      <c r="A4" s="244"/>
      <c r="B4" s="194" t="s">
        <v>824</v>
      </c>
      <c r="C4" s="194" t="s">
        <v>825</v>
      </c>
      <c r="D4" s="183">
        <v>12</v>
      </c>
      <c r="E4" s="183">
        <v>1200</v>
      </c>
      <c r="F4" s="198">
        <f t="shared" ref="F4:F5" si="0">E4*(1+$J$3)</f>
        <v>5760</v>
      </c>
      <c r="G4" s="185">
        <f t="shared" ref="G4:G8" si="1">F4*D4</f>
        <v>69120</v>
      </c>
      <c r="I4" s="186" t="s">
        <v>826</v>
      </c>
      <c r="J4" s="187">
        <v>3.2</v>
      </c>
    </row>
    <row r="5" spans="1:10">
      <c r="A5" s="245"/>
      <c r="B5" s="194" t="s">
        <v>827</v>
      </c>
      <c r="C5" s="194" t="s">
        <v>828</v>
      </c>
      <c r="D5" s="183">
        <v>10</v>
      </c>
      <c r="E5" s="183">
        <v>1200</v>
      </c>
      <c r="F5" s="198">
        <f t="shared" si="0"/>
        <v>5760</v>
      </c>
      <c r="G5" s="185">
        <f t="shared" si="1"/>
        <v>57600</v>
      </c>
      <c r="I5" s="188"/>
      <c r="J5" s="188"/>
    </row>
    <row r="6" spans="1:10">
      <c r="A6" s="243" t="s">
        <v>826</v>
      </c>
      <c r="B6" s="194" t="s">
        <v>829</v>
      </c>
      <c r="C6" s="194" t="s">
        <v>830</v>
      </c>
      <c r="D6" s="183">
        <v>14</v>
      </c>
      <c r="E6" s="183">
        <v>800</v>
      </c>
      <c r="F6" s="198">
        <f>E6*(1+$J$4)</f>
        <v>3360</v>
      </c>
      <c r="G6" s="185">
        <f t="shared" si="1"/>
        <v>47040</v>
      </c>
      <c r="I6" s="188"/>
      <c r="J6" s="188"/>
    </row>
    <row r="7" spans="1:10">
      <c r="A7" s="244"/>
      <c r="B7" s="194" t="s">
        <v>831</v>
      </c>
      <c r="C7" s="195" t="s">
        <v>832</v>
      </c>
      <c r="D7" s="183">
        <v>12</v>
      </c>
      <c r="E7" s="183">
        <v>200</v>
      </c>
      <c r="F7" s="198">
        <f t="shared" ref="F7:F8" si="2">E7*(1+$J$4)</f>
        <v>840</v>
      </c>
      <c r="G7" s="185">
        <f t="shared" si="1"/>
        <v>10080</v>
      </c>
      <c r="I7" s="188"/>
      <c r="J7" s="188"/>
    </row>
    <row r="8" spans="1:10" ht="15.75" thickBot="1">
      <c r="A8" s="246"/>
      <c r="B8" s="196" t="s">
        <v>833</v>
      </c>
      <c r="C8" s="197" t="s">
        <v>834</v>
      </c>
      <c r="D8" s="189">
        <v>16</v>
      </c>
      <c r="E8" s="189">
        <v>1500</v>
      </c>
      <c r="F8" s="198">
        <f t="shared" si="2"/>
        <v>6300</v>
      </c>
      <c r="G8" s="185">
        <f t="shared" si="1"/>
        <v>100800</v>
      </c>
      <c r="I8" s="188"/>
      <c r="J8" s="188"/>
    </row>
  </sheetData>
  <scenarios current="0" show="0" sqref="G3">
    <scenario name="Melhor Caso" locked="1" count="8" user="Autor" comment="Criado por Autor em 10/08/2020&#10;Alterado por Autor em 10/08/2020">
      <inputCells r="D3" val="10"/>
      <inputCells r="D4" val="12"/>
      <inputCells r="D5" val="10"/>
      <inputCells r="D6" val="14"/>
      <inputCells r="D7" val="12"/>
      <inputCells r="D8" val="16"/>
      <inputCells r="J3" val="3,8"/>
      <inputCells r="J4" val="3,2"/>
    </scenario>
    <scenario name="Pior Caso" locked="1" count="8" user="Autor" comment="Criado por Autor em 10/08/2020">
      <inputCells r="D3" val="6"/>
      <inputCells r="D4" val="5"/>
      <inputCells r="D5" val="4"/>
      <inputCells r="D6" val="6"/>
      <inputCells r="D7" val="8"/>
      <inputCells r="D8" val="16"/>
      <inputCells r="J3" val="1,9"/>
      <inputCells r="J4" val="1,2"/>
    </scenario>
  </scenarios>
  <mergeCells count="5">
    <mergeCell ref="A1:G1"/>
    <mergeCell ref="I1:J1"/>
    <mergeCell ref="I2:J2"/>
    <mergeCell ref="A3:A5"/>
    <mergeCell ref="A6:A8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2"/>
  <dimension ref="D5"/>
  <sheetViews>
    <sheetView workbookViewId="0">
      <selection activeCell="D5" sqref="D5"/>
    </sheetView>
  </sheetViews>
  <sheetFormatPr defaultRowHeight="15"/>
  <cols>
    <col min="1" max="1" width="15.42578125" bestFit="1" customWidth="1"/>
    <col min="4" max="4" width="11.28515625" bestFit="1" customWidth="1"/>
  </cols>
  <sheetData>
    <row r="5" spans="4:4">
      <c r="D5" s="51" t="s">
        <v>1746</v>
      </c>
    </row>
  </sheetData>
  <sheetProtection password="CC3D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3"/>
  <dimension ref="A1:E22"/>
  <sheetViews>
    <sheetView workbookViewId="0">
      <selection activeCell="B2" sqref="B2"/>
    </sheetView>
  </sheetViews>
  <sheetFormatPr defaultRowHeight="15"/>
  <cols>
    <col min="1" max="1" width="11.85546875" bestFit="1" customWidth="1"/>
    <col min="2" max="2" width="16.85546875" bestFit="1" customWidth="1"/>
    <col min="5" max="5" width="17.7109375" bestFit="1" customWidth="1"/>
  </cols>
  <sheetData>
    <row r="1" spans="1:5">
      <c r="A1" s="58" t="s">
        <v>847</v>
      </c>
      <c r="B1" s="49" t="s">
        <v>1137</v>
      </c>
      <c r="C1" s="49" t="s">
        <v>1107</v>
      </c>
      <c r="E1" s="49" t="s">
        <v>1136</v>
      </c>
    </row>
    <row r="2" spans="1:5">
      <c r="A2" s="50" t="s">
        <v>1108</v>
      </c>
      <c r="B2" s="48">
        <v>2013</v>
      </c>
      <c r="C2" s="56">
        <v>1</v>
      </c>
      <c r="E2" s="48">
        <v>1</v>
      </c>
    </row>
    <row r="3" spans="1:5">
      <c r="A3" s="50" t="s">
        <v>1109</v>
      </c>
      <c r="B3" s="48">
        <v>2000</v>
      </c>
      <c r="C3" s="56">
        <v>1</v>
      </c>
      <c r="E3" s="48">
        <v>2</v>
      </c>
    </row>
    <row r="4" spans="1:5">
      <c r="A4" s="50" t="s">
        <v>1110</v>
      </c>
      <c r="B4" s="48">
        <v>1998</v>
      </c>
      <c r="C4" s="56">
        <v>1</v>
      </c>
      <c r="E4" s="48">
        <v>3</v>
      </c>
    </row>
    <row r="5" spans="1:5">
      <c r="A5" s="50" t="s">
        <v>1111</v>
      </c>
      <c r="B5" s="48">
        <v>2003</v>
      </c>
      <c r="C5" s="56">
        <v>1</v>
      </c>
    </row>
    <row r="6" spans="1:5">
      <c r="A6" s="50" t="s">
        <v>1112</v>
      </c>
      <c r="B6" s="48">
        <v>2003</v>
      </c>
      <c r="C6" s="56">
        <v>1</v>
      </c>
    </row>
    <row r="7" spans="1:5">
      <c r="A7" s="50" t="s">
        <v>1113</v>
      </c>
      <c r="B7" s="48">
        <v>2005</v>
      </c>
      <c r="C7" s="56">
        <v>1</v>
      </c>
    </row>
    <row r="8" spans="1:5">
      <c r="A8" s="50" t="s">
        <v>1114</v>
      </c>
      <c r="B8" s="48">
        <v>2007</v>
      </c>
      <c r="C8" s="56">
        <v>1</v>
      </c>
    </row>
    <row r="9" spans="1:5">
      <c r="A9" s="50" t="s">
        <v>1115</v>
      </c>
      <c r="B9" s="48">
        <v>2007</v>
      </c>
      <c r="C9" s="56">
        <v>1</v>
      </c>
    </row>
    <row r="10" spans="1:5">
      <c r="A10" s="50" t="s">
        <v>1116</v>
      </c>
      <c r="B10" s="48">
        <v>2006</v>
      </c>
      <c r="C10" s="56">
        <v>1</v>
      </c>
    </row>
    <row r="11" spans="1:5">
      <c r="A11" s="50" t="s">
        <v>1117</v>
      </c>
      <c r="B11" s="48">
        <v>2008</v>
      </c>
      <c r="C11" s="56">
        <v>1</v>
      </c>
    </row>
    <row r="12" spans="1:5">
      <c r="A12" s="50" t="s">
        <v>1118</v>
      </c>
      <c r="B12" s="48">
        <v>2009</v>
      </c>
      <c r="C12" s="56">
        <v>1</v>
      </c>
    </row>
    <row r="13" spans="1:5">
      <c r="A13" s="50" t="s">
        <v>1052</v>
      </c>
      <c r="B13" s="48">
        <v>2010</v>
      </c>
      <c r="C13" s="56">
        <v>1</v>
      </c>
    </row>
    <row r="14" spans="1:5">
      <c r="A14" s="50" t="s">
        <v>1119</v>
      </c>
      <c r="B14" s="48">
        <v>2010</v>
      </c>
      <c r="C14" s="56">
        <v>1</v>
      </c>
    </row>
    <row r="15" spans="1:5">
      <c r="A15" s="50" t="s">
        <v>1120</v>
      </c>
      <c r="B15" s="48">
        <v>1998</v>
      </c>
      <c r="C15" s="56">
        <v>1</v>
      </c>
    </row>
    <row r="16" spans="1:5">
      <c r="A16" s="50" t="s">
        <v>1121</v>
      </c>
      <c r="B16" s="48">
        <v>2007</v>
      </c>
      <c r="C16" s="56">
        <v>1</v>
      </c>
    </row>
    <row r="17" spans="1:3">
      <c r="A17" s="50" t="s">
        <v>1122</v>
      </c>
      <c r="B17" s="48">
        <v>2003</v>
      </c>
      <c r="C17" s="56">
        <v>1</v>
      </c>
    </row>
    <row r="18" spans="1:3">
      <c r="A18" s="50" t="s">
        <v>1123</v>
      </c>
      <c r="B18" s="48">
        <v>2001</v>
      </c>
      <c r="C18" s="56">
        <v>1</v>
      </c>
    </row>
    <row r="19" spans="1:3">
      <c r="A19" s="50" t="s">
        <v>1124</v>
      </c>
      <c r="B19" s="48">
        <v>2009</v>
      </c>
      <c r="C19" s="56">
        <v>1</v>
      </c>
    </row>
    <row r="20" spans="1:3">
      <c r="A20" s="50" t="s">
        <v>1125</v>
      </c>
      <c r="B20" s="48">
        <v>2010</v>
      </c>
      <c r="C20" s="56">
        <v>1</v>
      </c>
    </row>
    <row r="21" spans="1:3">
      <c r="A21" s="50" t="s">
        <v>1126</v>
      </c>
      <c r="B21" s="48">
        <v>2011</v>
      </c>
      <c r="C21" s="56">
        <v>1</v>
      </c>
    </row>
    <row r="22" spans="1:3">
      <c r="A22" s="50" t="s">
        <v>1127</v>
      </c>
      <c r="B22" s="48">
        <v>1975</v>
      </c>
      <c r="C22" s="56">
        <v>1</v>
      </c>
    </row>
  </sheetData>
  <dataValidations count="3">
    <dataValidation type="list" allowBlank="1" showInputMessage="1" showErrorMessage="1" sqref="C2:C22">
      <formula1>$E$2:$E$4</formula1>
    </dataValidation>
    <dataValidation type="whole" operator="lessThanOrEqual" allowBlank="1" showInputMessage="1" showErrorMessage="1" sqref="B3:B22">
      <formula1>2014</formula1>
    </dataValidation>
    <dataValidation type="whole" errorStyle="warning" operator="lessThanOrEqual" allowBlank="1" showInputMessage="1" showErrorMessage="1" errorTitle="Alerta !!!" error="Coloque a ano abaixo de 2014 !" sqref="B2">
      <formula1>2014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4"/>
  <dimension ref="A1:G10"/>
  <sheetViews>
    <sheetView workbookViewId="0">
      <selection activeCell="E3" sqref="E3"/>
    </sheetView>
  </sheetViews>
  <sheetFormatPr defaultRowHeight="15"/>
  <cols>
    <col min="1" max="1" width="17.5703125" style="59" bestFit="1" customWidth="1"/>
    <col min="2" max="2" width="18.42578125" style="59" customWidth="1"/>
    <col min="3" max="3" width="20.5703125" style="59" customWidth="1"/>
    <col min="4" max="4" width="14.42578125" style="59" customWidth="1"/>
    <col min="5" max="5" width="19.28515625" style="59" customWidth="1"/>
    <col min="6" max="16384" width="9.140625" style="59"/>
  </cols>
  <sheetData>
    <row r="1" spans="1:7" ht="28.5" customHeight="1">
      <c r="A1" s="61" t="s">
        <v>1</v>
      </c>
      <c r="B1" s="62" t="s">
        <v>835</v>
      </c>
      <c r="C1" s="61" t="s">
        <v>2</v>
      </c>
      <c r="D1" s="61" t="s">
        <v>3</v>
      </c>
      <c r="E1" s="61" t="s">
        <v>4</v>
      </c>
    </row>
    <row r="2" spans="1:7">
      <c r="A2" s="247"/>
      <c r="B2" s="247"/>
      <c r="C2" s="247"/>
      <c r="D2" s="247"/>
      <c r="E2" s="247"/>
    </row>
    <row r="3" spans="1:7">
      <c r="A3" s="63" t="s">
        <v>5</v>
      </c>
      <c r="B3" s="60">
        <v>650</v>
      </c>
      <c r="C3" s="64">
        <v>10</v>
      </c>
      <c r="D3" s="181">
        <f>C3*B3</f>
        <v>6500</v>
      </c>
      <c r="E3" s="182">
        <f>D3*C3</f>
        <v>65000</v>
      </c>
      <c r="G3" s="59" t="s">
        <v>6</v>
      </c>
    </row>
    <row r="4" spans="1:7">
      <c r="A4" s="63" t="s">
        <v>7</v>
      </c>
      <c r="B4" s="60">
        <v>580</v>
      </c>
      <c r="C4" s="64">
        <v>8</v>
      </c>
      <c r="D4" s="181">
        <f t="shared" ref="D4:D10" si="0">C4*B4</f>
        <v>4640</v>
      </c>
      <c r="E4" s="182">
        <f t="shared" ref="E4:E10" si="1">D4*C4</f>
        <v>37120</v>
      </c>
    </row>
    <row r="5" spans="1:7">
      <c r="A5" s="63" t="s">
        <v>9</v>
      </c>
      <c r="B5" s="60">
        <v>50</v>
      </c>
      <c r="C5" s="64">
        <v>70</v>
      </c>
      <c r="D5" s="181">
        <f t="shared" si="0"/>
        <v>3500</v>
      </c>
      <c r="E5" s="182">
        <f t="shared" si="1"/>
        <v>245000</v>
      </c>
    </row>
    <row r="6" spans="1:7">
      <c r="A6" s="63" t="s">
        <v>11</v>
      </c>
      <c r="B6" s="60">
        <v>60</v>
      </c>
      <c r="C6" s="64">
        <v>10</v>
      </c>
      <c r="D6" s="181">
        <f t="shared" si="0"/>
        <v>600</v>
      </c>
      <c r="E6" s="182">
        <f t="shared" si="1"/>
        <v>6000</v>
      </c>
    </row>
    <row r="7" spans="1:7">
      <c r="A7" s="63" t="s">
        <v>13</v>
      </c>
      <c r="B7" s="60">
        <v>0.68</v>
      </c>
      <c r="C7" s="64">
        <v>30</v>
      </c>
      <c r="D7" s="181">
        <f t="shared" si="0"/>
        <v>20.400000000000002</v>
      </c>
      <c r="E7" s="182">
        <f t="shared" si="1"/>
        <v>612.00000000000011</v>
      </c>
    </row>
    <row r="8" spans="1:7">
      <c r="A8" s="63" t="s">
        <v>14</v>
      </c>
      <c r="B8" s="60">
        <v>550</v>
      </c>
      <c r="C8" s="64">
        <v>23</v>
      </c>
      <c r="D8" s="181">
        <f t="shared" si="0"/>
        <v>12650</v>
      </c>
      <c r="E8" s="182">
        <f t="shared" si="1"/>
        <v>290950</v>
      </c>
    </row>
    <row r="9" spans="1:7">
      <c r="A9" s="63" t="s">
        <v>15</v>
      </c>
      <c r="B9" s="60">
        <v>3000</v>
      </c>
      <c r="C9" s="64">
        <v>13</v>
      </c>
      <c r="D9" s="181">
        <f t="shared" si="0"/>
        <v>39000</v>
      </c>
      <c r="E9" s="182">
        <f t="shared" si="1"/>
        <v>507000</v>
      </c>
    </row>
    <row r="10" spans="1:7">
      <c r="A10" s="63" t="s">
        <v>16</v>
      </c>
      <c r="B10" s="60">
        <v>75</v>
      </c>
      <c r="C10" s="64">
        <v>12</v>
      </c>
      <c r="D10" s="181">
        <f t="shared" si="0"/>
        <v>900</v>
      </c>
      <c r="E10" s="182">
        <f t="shared" si="1"/>
        <v>10800</v>
      </c>
    </row>
  </sheetData>
  <mergeCells count="1">
    <mergeCell ref="A2:E2"/>
  </mergeCells>
  <pageMargins left="0.511811024" right="0.511811024" top="0.78740157499999996" bottom="0.78740157499999996" header="0.31496062000000002" footer="0.31496062000000002"/>
  <cellWatches>
    <cellWatch r="D3"/>
    <cellWatch r="D4"/>
    <cellWatch r="D5"/>
    <cellWatch r="D6"/>
    <cellWatch r="D7"/>
    <cellWatch r="D8"/>
    <cellWatch r="D9"/>
    <cellWatch r="D10"/>
    <cellWatch r="E3"/>
  </cellWatches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5"/>
  <dimension ref="A1:C9"/>
  <sheetViews>
    <sheetView workbookViewId="0">
      <selection activeCell="B9" sqref="B9"/>
    </sheetView>
  </sheetViews>
  <sheetFormatPr defaultRowHeight="15"/>
  <cols>
    <col min="1" max="1" width="10.7109375" bestFit="1" customWidth="1"/>
    <col min="2" max="2" width="6" bestFit="1" customWidth="1"/>
    <col min="3" max="3" width="13.28515625" bestFit="1" customWidth="1"/>
    <col min="4" max="5" width="11.140625" bestFit="1" customWidth="1"/>
  </cols>
  <sheetData>
    <row r="1" spans="1:3">
      <c r="A1" s="4" t="s">
        <v>765</v>
      </c>
      <c r="B1" s="4" t="s">
        <v>840</v>
      </c>
      <c r="C1" s="4" t="s">
        <v>1138</v>
      </c>
    </row>
    <row r="2" spans="1:3">
      <c r="A2" s="57" t="s">
        <v>836</v>
      </c>
      <c r="B2" s="55" t="s">
        <v>841</v>
      </c>
      <c r="C2" s="55">
        <v>9.8000000000000007</v>
      </c>
    </row>
    <row r="3" spans="1:3">
      <c r="A3" s="57" t="s">
        <v>838</v>
      </c>
      <c r="B3" s="55" t="s">
        <v>843</v>
      </c>
      <c r="C3" s="55">
        <v>3.41</v>
      </c>
    </row>
    <row r="4" spans="1:3">
      <c r="A4" s="57" t="s">
        <v>837</v>
      </c>
      <c r="B4" s="55" t="s">
        <v>842</v>
      </c>
      <c r="C4" s="55">
        <v>4.99</v>
      </c>
    </row>
    <row r="5" spans="1:3">
      <c r="A5" s="57" t="s">
        <v>839</v>
      </c>
      <c r="B5" s="55" t="s">
        <v>844</v>
      </c>
      <c r="C5" s="55">
        <v>3.08</v>
      </c>
    </row>
    <row r="8" spans="1:3">
      <c r="A8" s="4" t="s">
        <v>845</v>
      </c>
      <c r="B8">
        <f>SUM(C2,C4)</f>
        <v>14.790000000000001</v>
      </c>
    </row>
    <row r="9" spans="1:3">
      <c r="A9" s="4" t="s">
        <v>1139</v>
      </c>
      <c r="B9">
        <f>SUM(C3,C5)</f>
        <v>6.49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16"/>
  <dimension ref="A1:E9"/>
  <sheetViews>
    <sheetView workbookViewId="0">
      <selection activeCell="E10" sqref="E10"/>
    </sheetView>
  </sheetViews>
  <sheetFormatPr defaultRowHeight="15"/>
  <cols>
    <col min="1" max="1" width="17.85546875" bestFit="1" customWidth="1"/>
    <col min="2" max="2" width="15.5703125" bestFit="1" customWidth="1"/>
    <col min="4" max="4" width="14.140625" bestFit="1" customWidth="1"/>
    <col min="5" max="5" width="12.140625" bestFit="1" customWidth="1"/>
  </cols>
  <sheetData>
    <row r="1" spans="1:5" ht="15.75" thickBot="1">
      <c r="A1" s="5" t="s">
        <v>846</v>
      </c>
      <c r="B1" s="6" t="s">
        <v>1140</v>
      </c>
    </row>
    <row r="2" spans="1:5">
      <c r="A2" s="67" t="s">
        <v>847</v>
      </c>
      <c r="B2" s="69">
        <v>736</v>
      </c>
      <c r="D2" s="65" t="s">
        <v>848</v>
      </c>
      <c r="E2" s="8">
        <v>2800</v>
      </c>
    </row>
    <row r="3" spans="1:5" ht="15.75" thickBot="1">
      <c r="A3" s="67" t="s">
        <v>849</v>
      </c>
      <c r="B3" s="69">
        <v>59</v>
      </c>
      <c r="D3" s="66" t="s">
        <v>850</v>
      </c>
      <c r="E3" s="9">
        <f>E2-B9</f>
        <v>1735</v>
      </c>
    </row>
    <row r="4" spans="1:5">
      <c r="A4" s="67" t="s">
        <v>800</v>
      </c>
      <c r="B4" s="69">
        <v>89</v>
      </c>
    </row>
    <row r="5" spans="1:5">
      <c r="A5" s="67" t="s">
        <v>851</v>
      </c>
      <c r="B5" s="69">
        <v>103</v>
      </c>
    </row>
    <row r="6" spans="1:5">
      <c r="A6" s="67" t="s">
        <v>852</v>
      </c>
      <c r="B6" s="69"/>
    </row>
    <row r="7" spans="1:5" ht="15.75" thickBot="1">
      <c r="A7" s="68" t="s">
        <v>853</v>
      </c>
      <c r="B7" s="70">
        <v>78</v>
      </c>
    </row>
    <row r="8" spans="1:5" ht="15.75" thickBot="1"/>
    <row r="9" spans="1:5" ht="15.75" thickBot="1">
      <c r="A9" s="10" t="s">
        <v>1141</v>
      </c>
      <c r="B9" s="71">
        <f>SUM(B2:B7)</f>
        <v>1065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17"/>
  <dimension ref="A1:D17"/>
  <sheetViews>
    <sheetView topLeftCell="A2" workbookViewId="0">
      <selection activeCell="F13" sqref="F13"/>
    </sheetView>
  </sheetViews>
  <sheetFormatPr defaultRowHeight="15"/>
  <cols>
    <col min="1" max="1" width="11.42578125" bestFit="1" customWidth="1"/>
    <col min="2" max="2" width="14.85546875" customWidth="1"/>
    <col min="3" max="3" width="20.85546875" bestFit="1" customWidth="1"/>
    <col min="4" max="4" width="24.28515625" customWidth="1"/>
  </cols>
  <sheetData>
    <row r="1" spans="1:4">
      <c r="A1" s="248" t="s">
        <v>1096</v>
      </c>
      <c r="B1" s="249"/>
      <c r="C1" s="249"/>
      <c r="D1" s="250"/>
    </row>
    <row r="2" spans="1:4" ht="15.75" thickBot="1">
      <c r="A2" s="251"/>
      <c r="B2" s="252"/>
      <c r="C2" s="252"/>
      <c r="D2" s="253"/>
    </row>
    <row r="3" spans="1:4" ht="15.75" thickBot="1">
      <c r="A3" s="38" t="s">
        <v>1097</v>
      </c>
      <c r="B3" s="39">
        <v>38732.559999999998</v>
      </c>
      <c r="C3" s="40"/>
      <c r="D3" s="41"/>
    </row>
    <row r="4" spans="1:4" ht="15.75">
      <c r="A4" s="254" t="s">
        <v>1073</v>
      </c>
      <c r="B4" s="255"/>
      <c r="C4" s="255"/>
      <c r="D4" s="256"/>
    </row>
    <row r="5" spans="1:4" ht="15.75">
      <c r="A5" s="42" t="s">
        <v>765</v>
      </c>
      <c r="B5" s="43" t="s">
        <v>796</v>
      </c>
      <c r="C5" s="43" t="s">
        <v>1098</v>
      </c>
      <c r="D5" s="257"/>
    </row>
    <row r="6" spans="1:4">
      <c r="A6" s="72" t="s">
        <v>1099</v>
      </c>
      <c r="B6" s="37">
        <v>10</v>
      </c>
      <c r="C6" s="50" t="s">
        <v>1100</v>
      </c>
      <c r="D6" s="257"/>
    </row>
    <row r="7" spans="1:4">
      <c r="A7" s="72" t="s">
        <v>1101</v>
      </c>
      <c r="B7" s="37">
        <v>2</v>
      </c>
      <c r="C7" s="50" t="s">
        <v>1102</v>
      </c>
      <c r="D7" s="257"/>
    </row>
    <row r="8" spans="1:4">
      <c r="A8" s="72" t="s">
        <v>1103</v>
      </c>
      <c r="B8" s="37">
        <v>2</v>
      </c>
      <c r="C8" s="50" t="s">
        <v>1102</v>
      </c>
      <c r="D8" s="257"/>
    </row>
    <row r="9" spans="1:4">
      <c r="A9" s="72" t="s">
        <v>1104</v>
      </c>
      <c r="B9" s="37">
        <v>2</v>
      </c>
      <c r="C9" s="50" t="s">
        <v>1105</v>
      </c>
      <c r="D9" s="257"/>
    </row>
    <row r="10" spans="1:4">
      <c r="A10" s="258"/>
      <c r="B10" s="259"/>
      <c r="C10" s="259"/>
      <c r="D10" s="260"/>
    </row>
    <row r="11" spans="1:4">
      <c r="A11" s="261"/>
      <c r="B11" s="262"/>
      <c r="C11" s="262"/>
      <c r="D11" s="263"/>
    </row>
    <row r="12" spans="1:4">
      <c r="A12" s="36" t="s">
        <v>765</v>
      </c>
      <c r="B12" s="36" t="s">
        <v>818</v>
      </c>
      <c r="C12" s="36" t="s">
        <v>796</v>
      </c>
      <c r="D12" s="44"/>
    </row>
    <row r="13" spans="1:4">
      <c r="A13" s="73" t="s">
        <v>15</v>
      </c>
      <c r="B13" s="74">
        <v>2769.37</v>
      </c>
      <c r="C13" s="37">
        <v>10</v>
      </c>
      <c r="D13" s="7">
        <f>C13*B13</f>
        <v>27693.699999999997</v>
      </c>
    </row>
    <row r="14" spans="1:4">
      <c r="A14" s="73" t="s">
        <v>1101</v>
      </c>
      <c r="B14" s="74">
        <v>349.99</v>
      </c>
      <c r="C14" s="37">
        <v>2</v>
      </c>
      <c r="D14" s="7">
        <f t="shared" ref="D14:D16" si="0">C14*B14</f>
        <v>699.98</v>
      </c>
    </row>
    <row r="15" spans="1:4">
      <c r="A15" s="73" t="s">
        <v>1103</v>
      </c>
      <c r="B15" s="74">
        <v>279.99</v>
      </c>
      <c r="C15" s="37">
        <v>2</v>
      </c>
      <c r="D15" s="7">
        <f t="shared" si="0"/>
        <v>559.98</v>
      </c>
    </row>
    <row r="16" spans="1:4">
      <c r="A16" s="73" t="s">
        <v>1104</v>
      </c>
      <c r="B16" s="74">
        <v>249.99</v>
      </c>
      <c r="C16" s="37">
        <v>2</v>
      </c>
      <c r="D16" s="7">
        <f t="shared" si="0"/>
        <v>499.98</v>
      </c>
    </row>
    <row r="17" spans="1:4" ht="15.75" thickBot="1">
      <c r="A17" s="45"/>
      <c r="B17" s="46"/>
      <c r="C17" s="36" t="s">
        <v>1106</v>
      </c>
      <c r="D17" s="47">
        <f>SUM(D13:D16)</f>
        <v>29453.639999999996</v>
      </c>
    </row>
  </sheetData>
  <mergeCells count="4">
    <mergeCell ref="A1:D2"/>
    <mergeCell ref="A4:D4"/>
    <mergeCell ref="D5:D9"/>
    <mergeCell ref="A10:D11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8"/>
  <dimension ref="A1:J20"/>
  <sheetViews>
    <sheetView workbookViewId="0">
      <selection activeCell="A2" sqref="A2"/>
    </sheetView>
  </sheetViews>
  <sheetFormatPr defaultColWidth="16.85546875" defaultRowHeight="15"/>
  <cols>
    <col min="1" max="1" width="16.85546875" style="82"/>
    <col min="2" max="2" width="16.85546875" style="59"/>
    <col min="3" max="3" width="12.28515625" style="59" bestFit="1" customWidth="1"/>
    <col min="4" max="7" width="16.85546875" style="59"/>
    <col min="8" max="9" width="16.28515625" style="78" customWidth="1"/>
    <col min="10" max="16384" width="16.85546875" style="59"/>
  </cols>
  <sheetData>
    <row r="1" spans="1:10">
      <c r="A1" s="81" t="s">
        <v>794</v>
      </c>
      <c r="B1" s="75" t="s">
        <v>854</v>
      </c>
      <c r="C1" s="78"/>
    </row>
    <row r="2" spans="1:10">
      <c r="A2" s="76" t="s">
        <v>868</v>
      </c>
      <c r="B2" s="77">
        <v>3523</v>
      </c>
      <c r="C2" s="78"/>
    </row>
    <row r="3" spans="1:10">
      <c r="A3" s="76" t="s">
        <v>869</v>
      </c>
      <c r="B3" s="77" t="s">
        <v>861</v>
      </c>
      <c r="C3" s="78"/>
    </row>
    <row r="4" spans="1:10">
      <c r="A4" s="76" t="s">
        <v>870</v>
      </c>
      <c r="B4" s="77" t="s">
        <v>862</v>
      </c>
      <c r="C4" s="78"/>
    </row>
    <row r="5" spans="1:10">
      <c r="A5" s="76" t="s">
        <v>871</v>
      </c>
      <c r="B5" s="77" t="s">
        <v>863</v>
      </c>
      <c r="C5" s="78"/>
    </row>
    <row r="6" spans="1:10">
      <c r="A6" s="76" t="s">
        <v>872</v>
      </c>
      <c r="B6" s="77" t="s">
        <v>864</v>
      </c>
      <c r="C6" s="78"/>
    </row>
    <row r="7" spans="1:10">
      <c r="A7" s="76" t="s">
        <v>873</v>
      </c>
      <c r="B7" s="77" t="s">
        <v>865</v>
      </c>
      <c r="C7" s="78"/>
    </row>
    <row r="8" spans="1:10">
      <c r="A8" s="76" t="s">
        <v>874</v>
      </c>
      <c r="B8" s="77" t="s">
        <v>866</v>
      </c>
      <c r="C8" s="78"/>
    </row>
    <row r="9" spans="1:10">
      <c r="A9" s="76" t="s">
        <v>875</v>
      </c>
      <c r="B9" s="77" t="s">
        <v>867</v>
      </c>
      <c r="C9" s="78"/>
    </row>
    <row r="10" spans="1:10">
      <c r="B10" s="78"/>
      <c r="C10" s="78"/>
    </row>
    <row r="11" spans="1:10">
      <c r="A11" s="264" t="s">
        <v>855</v>
      </c>
      <c r="B11" s="264"/>
      <c r="C11" s="264"/>
      <c r="D11" s="264"/>
      <c r="E11" s="264"/>
      <c r="F11" s="264"/>
      <c r="G11" s="264"/>
      <c r="J11" s="78"/>
    </row>
    <row r="12" spans="1:10">
      <c r="A12" s="83" t="s">
        <v>856</v>
      </c>
      <c r="B12" s="79" t="s">
        <v>857</v>
      </c>
      <c r="C12" s="79" t="s">
        <v>858</v>
      </c>
      <c r="D12" s="79" t="s">
        <v>860</v>
      </c>
      <c r="E12" s="79" t="s">
        <v>876</v>
      </c>
      <c r="F12" s="79" t="s">
        <v>877</v>
      </c>
      <c r="G12" s="79" t="s">
        <v>859</v>
      </c>
    </row>
    <row r="13" spans="1:10">
      <c r="A13" s="84" t="str">
        <f t="shared" ref="A13:A20" si="0">UPPER(A2)</f>
        <v>AOC</v>
      </c>
      <c r="B13" s="80"/>
      <c r="C13" s="80"/>
      <c r="D13" s="80"/>
      <c r="E13" s="80"/>
      <c r="F13" s="80"/>
      <c r="G13" s="80"/>
    </row>
    <row r="14" spans="1:10">
      <c r="A14" s="84" t="str">
        <f t="shared" si="0"/>
        <v>GRADIENTE</v>
      </c>
      <c r="B14" s="80"/>
      <c r="C14" s="80"/>
      <c r="D14" s="80"/>
      <c r="E14" s="80"/>
      <c r="F14" s="80"/>
      <c r="G14" s="80"/>
    </row>
    <row r="15" spans="1:10">
      <c r="A15" s="84" t="str">
        <f t="shared" si="0"/>
        <v>HP</v>
      </c>
      <c r="B15" s="80"/>
      <c r="C15" s="80"/>
      <c r="D15" s="80"/>
      <c r="E15" s="80"/>
      <c r="F15" s="80"/>
      <c r="G15" s="80"/>
    </row>
    <row r="16" spans="1:10">
      <c r="A16" s="84" t="str">
        <f t="shared" si="0"/>
        <v>LG</v>
      </c>
      <c r="B16" s="80"/>
      <c r="C16" s="80"/>
      <c r="D16" s="80"/>
      <c r="E16" s="80"/>
      <c r="F16" s="80"/>
      <c r="G16" s="80"/>
    </row>
    <row r="17" spans="1:7">
      <c r="A17" s="84" t="str">
        <f t="shared" si="0"/>
        <v>MICROSOFT</v>
      </c>
      <c r="B17" s="80"/>
      <c r="C17" s="80"/>
      <c r="D17" s="80"/>
      <c r="E17" s="80"/>
      <c r="F17" s="80"/>
      <c r="G17" s="80"/>
    </row>
    <row r="18" spans="1:7">
      <c r="A18" s="84" t="str">
        <f t="shared" si="0"/>
        <v>SAMSUNG</v>
      </c>
      <c r="B18" s="80"/>
      <c r="C18" s="80"/>
      <c r="D18" s="80"/>
      <c r="E18" s="80"/>
      <c r="F18" s="80"/>
      <c r="G18" s="80"/>
    </row>
    <row r="19" spans="1:7">
      <c r="A19" s="84" t="str">
        <f t="shared" si="0"/>
        <v>SIEMENS</v>
      </c>
      <c r="B19" s="80"/>
      <c r="C19" s="80"/>
      <c r="D19" s="80"/>
      <c r="E19" s="80"/>
      <c r="F19" s="80"/>
      <c r="G19" s="80"/>
    </row>
    <row r="20" spans="1:7">
      <c r="A20" s="84" t="str">
        <f t="shared" si="0"/>
        <v>TOSHIBA</v>
      </c>
      <c r="B20" s="80"/>
      <c r="C20" s="80"/>
      <c r="D20" s="80"/>
      <c r="E20" s="80"/>
      <c r="F20" s="80"/>
      <c r="G20" s="80"/>
    </row>
  </sheetData>
  <mergeCells count="1">
    <mergeCell ref="A11:G11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19"/>
  <dimension ref="A1:E10"/>
  <sheetViews>
    <sheetView workbookViewId="0">
      <selection activeCell="A4" sqref="A4"/>
    </sheetView>
  </sheetViews>
  <sheetFormatPr defaultRowHeight="15"/>
  <cols>
    <col min="1" max="1" width="11.85546875" customWidth="1"/>
    <col min="2" max="2" width="13.85546875" customWidth="1"/>
    <col min="3" max="3" width="15.140625" customWidth="1"/>
    <col min="4" max="4" width="17.7109375" customWidth="1"/>
    <col min="5" max="5" width="10.7109375" customWidth="1"/>
  </cols>
  <sheetData>
    <row r="1" spans="1:5">
      <c r="A1" s="265" t="s">
        <v>878</v>
      </c>
      <c r="B1" s="265"/>
      <c r="C1" s="265"/>
      <c r="D1" s="265"/>
      <c r="E1" s="265"/>
    </row>
    <row r="2" spans="1:5">
      <c r="A2" s="266"/>
      <c r="B2" s="266"/>
      <c r="C2" s="266"/>
      <c r="D2" s="266"/>
      <c r="E2" s="266"/>
    </row>
    <row r="3" spans="1:5" ht="30.75" customHeight="1">
      <c r="A3" s="87" t="s">
        <v>1142</v>
      </c>
      <c r="B3" s="87" t="s">
        <v>880</v>
      </c>
      <c r="C3" s="87" t="s">
        <v>881</v>
      </c>
      <c r="D3" s="87" t="s">
        <v>882</v>
      </c>
      <c r="E3" s="87" t="s">
        <v>883</v>
      </c>
    </row>
    <row r="4" spans="1:5">
      <c r="A4" s="86">
        <v>12.945</v>
      </c>
      <c r="B4" s="14"/>
      <c r="C4" s="2"/>
      <c r="D4" s="2"/>
      <c r="E4" s="2"/>
    </row>
    <row r="5" spans="1:5">
      <c r="A5" s="86">
        <v>12.965999999999999</v>
      </c>
      <c r="B5" s="14"/>
      <c r="C5" s="2"/>
      <c r="D5" s="2"/>
      <c r="E5" s="2"/>
    </row>
    <row r="6" spans="1:5">
      <c r="A6" s="86">
        <v>5.98</v>
      </c>
      <c r="B6" s="14"/>
      <c r="C6" s="2"/>
      <c r="D6" s="2"/>
      <c r="E6" s="2"/>
    </row>
    <row r="7" spans="1:5">
      <c r="A7" s="86">
        <v>5.2439999999999998</v>
      </c>
      <c r="B7" s="14"/>
      <c r="C7" s="2"/>
      <c r="D7" s="2"/>
      <c r="E7" s="2"/>
    </row>
    <row r="8" spans="1:5">
      <c r="A8" s="86">
        <v>6.7839999999999998</v>
      </c>
      <c r="B8" s="14"/>
      <c r="C8" s="2"/>
      <c r="D8" s="2"/>
      <c r="E8" s="2"/>
    </row>
    <row r="9" spans="1:5">
      <c r="A9" s="86">
        <v>8.8539999999999992</v>
      </c>
      <c r="B9" s="14"/>
      <c r="C9" s="2"/>
      <c r="D9" s="2"/>
      <c r="E9" s="2"/>
    </row>
    <row r="10" spans="1:5">
      <c r="A10" s="86">
        <v>3.8740000000000001</v>
      </c>
      <c r="B10" s="14"/>
      <c r="C10" s="2"/>
      <c r="D10" s="2"/>
      <c r="E10" s="2"/>
    </row>
  </sheetData>
  <mergeCells count="2">
    <mergeCell ref="A1:E1"/>
    <mergeCell ref="A2:E2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20"/>
  <dimension ref="A1:G30"/>
  <sheetViews>
    <sheetView workbookViewId="0">
      <selection activeCell="F7" sqref="F7"/>
    </sheetView>
  </sheetViews>
  <sheetFormatPr defaultRowHeight="15"/>
  <cols>
    <col min="1" max="1" width="11.28515625" style="82" bestFit="1" customWidth="1"/>
    <col min="2" max="2" width="12.42578125" style="131" bestFit="1" customWidth="1"/>
    <col min="3" max="3" width="17.28515625" style="131" bestFit="1" customWidth="1"/>
    <col min="4" max="4" width="13.28515625" style="131" bestFit="1" customWidth="1"/>
    <col min="5" max="5" width="9.140625" style="59"/>
    <col min="6" max="6" width="6.42578125" style="59" bestFit="1" customWidth="1"/>
    <col min="7" max="7" width="26.140625" style="59" customWidth="1"/>
    <col min="8" max="16384" width="9.140625" style="59"/>
  </cols>
  <sheetData>
    <row r="1" spans="1:7">
      <c r="A1" s="267" t="s">
        <v>793</v>
      </c>
      <c r="B1" s="268"/>
      <c r="C1" s="268"/>
      <c r="D1" s="269"/>
    </row>
    <row r="2" spans="1:7" ht="15.75" thickBot="1">
      <c r="A2" s="270"/>
      <c r="B2" s="271"/>
      <c r="C2" s="271"/>
      <c r="D2" s="272"/>
    </row>
    <row r="3" spans="1:7">
      <c r="A3" s="199" t="s">
        <v>794</v>
      </c>
      <c r="B3" s="200" t="s">
        <v>796</v>
      </c>
      <c r="C3" s="200" t="s">
        <v>1138</v>
      </c>
      <c r="D3" s="201" t="s">
        <v>1143</v>
      </c>
      <c r="F3" s="204" t="s">
        <v>794</v>
      </c>
      <c r="G3" s="202"/>
    </row>
    <row r="4" spans="1:7" ht="15.75" thickBot="1">
      <c r="A4" s="167" t="s">
        <v>798</v>
      </c>
      <c r="B4" s="178">
        <v>3</v>
      </c>
      <c r="C4" s="161">
        <v>87</v>
      </c>
      <c r="D4" s="169">
        <f t="shared" ref="D4:D30" si="0">C4*B4</f>
        <v>261</v>
      </c>
      <c r="F4" s="205" t="s">
        <v>820</v>
      </c>
      <c r="G4" s="203"/>
    </row>
    <row r="5" spans="1:7">
      <c r="A5" s="167" t="s">
        <v>799</v>
      </c>
      <c r="B5" s="178">
        <v>5</v>
      </c>
      <c r="C5" s="161">
        <v>1200</v>
      </c>
      <c r="D5" s="169">
        <f t="shared" si="0"/>
        <v>6000</v>
      </c>
    </row>
    <row r="6" spans="1:7">
      <c r="A6" s="167" t="s">
        <v>801</v>
      </c>
      <c r="B6" s="178">
        <v>6</v>
      </c>
      <c r="C6" s="161">
        <v>350</v>
      </c>
      <c r="D6" s="169">
        <f t="shared" si="0"/>
        <v>2100</v>
      </c>
    </row>
    <row r="7" spans="1:7">
      <c r="A7" s="167" t="s">
        <v>803</v>
      </c>
      <c r="B7" s="178">
        <v>7</v>
      </c>
      <c r="C7" s="161">
        <v>700</v>
      </c>
      <c r="D7" s="169">
        <f t="shared" si="0"/>
        <v>4900</v>
      </c>
    </row>
    <row r="8" spans="1:7">
      <c r="A8" s="167" t="s">
        <v>803</v>
      </c>
      <c r="B8" s="178">
        <v>8</v>
      </c>
      <c r="C8" s="161">
        <v>3000</v>
      </c>
      <c r="D8" s="169">
        <f t="shared" si="0"/>
        <v>24000</v>
      </c>
    </row>
    <row r="9" spans="1:7">
      <c r="A9" s="167" t="s">
        <v>804</v>
      </c>
      <c r="B9" s="178">
        <v>8</v>
      </c>
      <c r="C9" s="170">
        <v>220</v>
      </c>
      <c r="D9" s="169">
        <f t="shared" si="0"/>
        <v>1760</v>
      </c>
    </row>
    <row r="10" spans="1:7">
      <c r="A10" s="167" t="s">
        <v>798</v>
      </c>
      <c r="B10" s="178">
        <v>9</v>
      </c>
      <c r="C10" s="161">
        <v>80</v>
      </c>
      <c r="D10" s="169">
        <f t="shared" si="0"/>
        <v>720</v>
      </c>
    </row>
    <row r="11" spans="1:7">
      <c r="A11" s="167" t="s">
        <v>806</v>
      </c>
      <c r="B11" s="178">
        <v>10</v>
      </c>
      <c r="C11" s="161">
        <v>2500</v>
      </c>
      <c r="D11" s="169">
        <f t="shared" si="0"/>
        <v>25000</v>
      </c>
    </row>
    <row r="12" spans="1:7">
      <c r="A12" s="167" t="s">
        <v>801</v>
      </c>
      <c r="B12" s="178">
        <v>11</v>
      </c>
      <c r="C12" s="161">
        <v>350</v>
      </c>
      <c r="D12" s="169">
        <f t="shared" si="0"/>
        <v>3850</v>
      </c>
    </row>
    <row r="13" spans="1:7">
      <c r="A13" s="167" t="s">
        <v>807</v>
      </c>
      <c r="B13" s="178">
        <v>12</v>
      </c>
      <c r="C13" s="161">
        <v>1200</v>
      </c>
      <c r="D13" s="169">
        <f t="shared" si="0"/>
        <v>14400</v>
      </c>
    </row>
    <row r="14" spans="1:7">
      <c r="A14" s="167" t="s">
        <v>808</v>
      </c>
      <c r="B14" s="178">
        <v>12</v>
      </c>
      <c r="C14" s="161">
        <v>220</v>
      </c>
      <c r="D14" s="169">
        <f t="shared" si="0"/>
        <v>2640</v>
      </c>
    </row>
    <row r="15" spans="1:7">
      <c r="A15" s="167" t="s">
        <v>804</v>
      </c>
      <c r="B15" s="178">
        <v>12</v>
      </c>
      <c r="C15" s="161">
        <v>500</v>
      </c>
      <c r="D15" s="169">
        <f t="shared" si="0"/>
        <v>6000</v>
      </c>
    </row>
    <row r="16" spans="1:7">
      <c r="A16" s="167" t="s">
        <v>804</v>
      </c>
      <c r="B16" s="178">
        <v>12</v>
      </c>
      <c r="C16" s="161">
        <v>200</v>
      </c>
      <c r="D16" s="169">
        <f t="shared" si="0"/>
        <v>2400</v>
      </c>
    </row>
    <row r="17" spans="1:4">
      <c r="A17" s="167" t="s">
        <v>806</v>
      </c>
      <c r="B17" s="178">
        <v>12</v>
      </c>
      <c r="C17" s="161">
        <v>456</v>
      </c>
      <c r="D17" s="169">
        <f t="shared" si="0"/>
        <v>5472</v>
      </c>
    </row>
    <row r="18" spans="1:4">
      <c r="A18" s="167" t="s">
        <v>808</v>
      </c>
      <c r="B18" s="178">
        <v>13</v>
      </c>
      <c r="C18" s="161">
        <v>700</v>
      </c>
      <c r="D18" s="169">
        <f t="shared" si="0"/>
        <v>9100</v>
      </c>
    </row>
    <row r="19" spans="1:4">
      <c r="A19" s="167" t="s">
        <v>804</v>
      </c>
      <c r="B19" s="178">
        <v>15</v>
      </c>
      <c r="C19" s="161">
        <v>750</v>
      </c>
      <c r="D19" s="169">
        <f t="shared" si="0"/>
        <v>11250</v>
      </c>
    </row>
    <row r="20" spans="1:4">
      <c r="A20" s="167" t="s">
        <v>804</v>
      </c>
      <c r="B20" s="178">
        <v>15</v>
      </c>
      <c r="C20" s="161">
        <v>356</v>
      </c>
      <c r="D20" s="169">
        <f t="shared" si="0"/>
        <v>5340</v>
      </c>
    </row>
    <row r="21" spans="1:4">
      <c r="A21" s="167" t="s">
        <v>808</v>
      </c>
      <c r="B21" s="178">
        <v>32</v>
      </c>
      <c r="C21" s="161">
        <v>1500</v>
      </c>
      <c r="D21" s="169">
        <f t="shared" si="0"/>
        <v>48000</v>
      </c>
    </row>
    <row r="22" spans="1:4">
      <c r="A22" s="167" t="s">
        <v>799</v>
      </c>
      <c r="B22" s="178">
        <v>45</v>
      </c>
      <c r="C22" s="161">
        <v>800</v>
      </c>
      <c r="D22" s="169">
        <f t="shared" si="0"/>
        <v>36000</v>
      </c>
    </row>
    <row r="23" spans="1:4">
      <c r="A23" s="167" t="s">
        <v>804</v>
      </c>
      <c r="B23" s="178">
        <v>51</v>
      </c>
      <c r="C23" s="161">
        <v>300</v>
      </c>
      <c r="D23" s="169">
        <f t="shared" si="0"/>
        <v>15300</v>
      </c>
    </row>
    <row r="24" spans="1:4">
      <c r="A24" s="167" t="s">
        <v>807</v>
      </c>
      <c r="B24" s="178">
        <v>65</v>
      </c>
      <c r="C24" s="161">
        <v>400</v>
      </c>
      <c r="D24" s="169">
        <f t="shared" si="0"/>
        <v>26000</v>
      </c>
    </row>
    <row r="25" spans="1:4">
      <c r="A25" s="167" t="s">
        <v>798</v>
      </c>
      <c r="B25" s="178">
        <v>65</v>
      </c>
      <c r="C25" s="161">
        <v>400</v>
      </c>
      <c r="D25" s="169">
        <f t="shared" si="0"/>
        <v>26000</v>
      </c>
    </row>
    <row r="26" spans="1:4">
      <c r="A26" s="167" t="s">
        <v>806</v>
      </c>
      <c r="B26" s="178">
        <v>65</v>
      </c>
      <c r="C26" s="161">
        <v>600</v>
      </c>
      <c r="D26" s="169">
        <f t="shared" si="0"/>
        <v>39000</v>
      </c>
    </row>
    <row r="27" spans="1:4">
      <c r="A27" s="167" t="s">
        <v>801</v>
      </c>
      <c r="B27" s="178">
        <v>74</v>
      </c>
      <c r="C27" s="161">
        <v>220</v>
      </c>
      <c r="D27" s="169">
        <f t="shared" si="0"/>
        <v>16280</v>
      </c>
    </row>
    <row r="28" spans="1:4">
      <c r="A28" s="167" t="s">
        <v>798</v>
      </c>
      <c r="B28" s="178">
        <v>75</v>
      </c>
      <c r="C28" s="161">
        <v>400</v>
      </c>
      <c r="D28" s="169">
        <f t="shared" si="0"/>
        <v>30000</v>
      </c>
    </row>
    <row r="29" spans="1:4">
      <c r="A29" s="167" t="s">
        <v>807</v>
      </c>
      <c r="B29" s="178">
        <v>89</v>
      </c>
      <c r="C29" s="161">
        <v>400</v>
      </c>
      <c r="D29" s="169">
        <f t="shared" si="0"/>
        <v>35600</v>
      </c>
    </row>
    <row r="30" spans="1:4" ht="15.75" thickBot="1">
      <c r="A30" s="174" t="s">
        <v>801</v>
      </c>
      <c r="B30" s="180">
        <v>97</v>
      </c>
      <c r="C30" s="176">
        <v>350</v>
      </c>
      <c r="D30" s="177">
        <f t="shared" si="0"/>
        <v>33950</v>
      </c>
    </row>
  </sheetData>
  <mergeCells count="1">
    <mergeCell ref="A1:D2"/>
  </mergeCell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21"/>
  <dimension ref="A1:J23"/>
  <sheetViews>
    <sheetView workbookViewId="0">
      <selection activeCell="C3" sqref="C3"/>
    </sheetView>
  </sheetViews>
  <sheetFormatPr defaultRowHeight="15"/>
  <cols>
    <col min="1" max="1" width="12.42578125" style="59" bestFit="1" customWidth="1"/>
    <col min="2" max="3" width="9" style="82" bestFit="1" customWidth="1"/>
    <col min="4" max="4" width="11" style="131" bestFit="1" customWidth="1"/>
    <col min="5" max="5" width="13.7109375" style="131" bestFit="1" customWidth="1"/>
    <col min="6" max="6" width="16" style="131" bestFit="1" customWidth="1"/>
    <col min="7" max="7" width="2.28515625" style="59" customWidth="1"/>
    <col min="8" max="9" width="9.140625" style="59"/>
    <col min="10" max="10" width="13.28515625" style="59" customWidth="1"/>
    <col min="11" max="16384" width="9.140625" style="59"/>
  </cols>
  <sheetData>
    <row r="1" spans="1:10">
      <c r="A1" s="206" t="s">
        <v>884</v>
      </c>
      <c r="B1" s="207" t="s">
        <v>766</v>
      </c>
      <c r="C1" s="207" t="s">
        <v>765</v>
      </c>
      <c r="D1" s="206" t="s">
        <v>796</v>
      </c>
      <c r="E1" s="206" t="s">
        <v>885</v>
      </c>
      <c r="F1" s="206" t="s">
        <v>820</v>
      </c>
      <c r="H1" s="274" t="s">
        <v>893</v>
      </c>
      <c r="I1" s="274"/>
      <c r="J1" s="274"/>
    </row>
    <row r="2" spans="1:10" ht="15" customHeight="1">
      <c r="A2" s="208">
        <v>39230</v>
      </c>
      <c r="B2" s="209" t="s">
        <v>886</v>
      </c>
      <c r="C2" s="209" t="s">
        <v>7</v>
      </c>
      <c r="D2" s="210">
        <v>2</v>
      </c>
      <c r="E2" s="211">
        <v>450</v>
      </c>
      <c r="F2" s="211">
        <f t="shared" ref="F2:F23" si="0">E2*D2</f>
        <v>900</v>
      </c>
      <c r="H2" s="275" t="s">
        <v>892</v>
      </c>
      <c r="I2" s="275"/>
      <c r="J2" s="275"/>
    </row>
    <row r="3" spans="1:10">
      <c r="A3" s="208">
        <v>39541</v>
      </c>
      <c r="B3" s="209" t="s">
        <v>888</v>
      </c>
      <c r="C3" s="209" t="s">
        <v>7</v>
      </c>
      <c r="D3" s="210"/>
      <c r="E3" s="211">
        <v>450</v>
      </c>
      <c r="F3" s="211">
        <f t="shared" si="0"/>
        <v>0</v>
      </c>
      <c r="H3" s="273"/>
      <c r="I3" s="273"/>
      <c r="J3" s="273"/>
    </row>
    <row r="4" spans="1:10">
      <c r="A4" s="208">
        <v>39326</v>
      </c>
      <c r="B4" s="209" t="s">
        <v>891</v>
      </c>
      <c r="C4" s="209" t="s">
        <v>7</v>
      </c>
      <c r="D4" s="210">
        <v>4</v>
      </c>
      <c r="E4" s="211">
        <v>450</v>
      </c>
      <c r="F4" s="211">
        <f t="shared" si="0"/>
        <v>1800</v>
      </c>
    </row>
    <row r="5" spans="1:10">
      <c r="A5" s="208"/>
      <c r="B5" s="209" t="s">
        <v>888</v>
      </c>
      <c r="C5" s="209" t="s">
        <v>7</v>
      </c>
      <c r="D5" s="210">
        <v>4</v>
      </c>
      <c r="E5" s="211">
        <v>450</v>
      </c>
      <c r="F5" s="211">
        <f t="shared" si="0"/>
        <v>1800</v>
      </c>
      <c r="H5" s="274" t="s">
        <v>894</v>
      </c>
      <c r="I5" s="274"/>
      <c r="J5" s="274"/>
    </row>
    <row r="6" spans="1:10">
      <c r="A6" s="208">
        <v>39185</v>
      </c>
      <c r="B6" s="209" t="s">
        <v>889</v>
      </c>
      <c r="C6" s="209" t="s">
        <v>890</v>
      </c>
      <c r="D6" s="210"/>
      <c r="E6" s="211">
        <v>120</v>
      </c>
      <c r="F6" s="211">
        <f t="shared" si="0"/>
        <v>0</v>
      </c>
      <c r="H6" s="275" t="s">
        <v>796</v>
      </c>
      <c r="I6" s="275"/>
      <c r="J6" s="275"/>
    </row>
    <row r="7" spans="1:10">
      <c r="A7" s="208">
        <v>39466</v>
      </c>
      <c r="B7" s="209" t="s">
        <v>889</v>
      </c>
      <c r="C7" s="209" t="s">
        <v>890</v>
      </c>
      <c r="D7" s="210">
        <v>8</v>
      </c>
      <c r="E7" s="211">
        <v>120</v>
      </c>
      <c r="F7" s="211">
        <f t="shared" si="0"/>
        <v>960</v>
      </c>
      <c r="H7" s="273"/>
      <c r="I7" s="273"/>
      <c r="J7" s="273"/>
    </row>
    <row r="8" spans="1:10">
      <c r="A8" s="208">
        <v>39276</v>
      </c>
      <c r="B8" s="209" t="s">
        <v>888</v>
      </c>
      <c r="C8" s="209" t="s">
        <v>890</v>
      </c>
      <c r="D8" s="210">
        <v>5</v>
      </c>
      <c r="E8" s="211">
        <v>120</v>
      </c>
      <c r="F8" s="211">
        <f t="shared" si="0"/>
        <v>600</v>
      </c>
    </row>
    <row r="9" spans="1:10">
      <c r="A9" s="208">
        <v>39239</v>
      </c>
      <c r="B9" s="209" t="s">
        <v>887</v>
      </c>
      <c r="C9" s="209" t="s">
        <v>11</v>
      </c>
      <c r="D9" s="210"/>
      <c r="E9" s="211">
        <v>25</v>
      </c>
      <c r="F9" s="211">
        <f t="shared" si="0"/>
        <v>0</v>
      </c>
      <c r="H9" s="274" t="s">
        <v>895</v>
      </c>
      <c r="I9" s="274"/>
      <c r="J9" s="274"/>
    </row>
    <row r="10" spans="1:10">
      <c r="A10" s="208">
        <v>39306</v>
      </c>
      <c r="B10" s="209" t="s">
        <v>888</v>
      </c>
      <c r="C10" s="209" t="s">
        <v>11</v>
      </c>
      <c r="D10" s="210">
        <v>7</v>
      </c>
      <c r="E10" s="211">
        <v>25</v>
      </c>
      <c r="F10" s="211">
        <f t="shared" si="0"/>
        <v>175</v>
      </c>
      <c r="H10" s="275" t="s">
        <v>896</v>
      </c>
      <c r="I10" s="275"/>
      <c r="J10" s="275"/>
    </row>
    <row r="11" spans="1:10">
      <c r="A11" s="208">
        <v>39306</v>
      </c>
      <c r="B11" s="209" t="s">
        <v>888</v>
      </c>
      <c r="C11" s="209" t="s">
        <v>11</v>
      </c>
      <c r="D11" s="210">
        <v>8</v>
      </c>
      <c r="E11" s="211">
        <v>25</v>
      </c>
      <c r="F11" s="211">
        <f t="shared" si="0"/>
        <v>200</v>
      </c>
      <c r="H11" s="273"/>
      <c r="I11" s="273"/>
      <c r="J11" s="273"/>
    </row>
    <row r="12" spans="1:10">
      <c r="A12" s="208">
        <v>39550</v>
      </c>
      <c r="B12" s="209" t="s">
        <v>886</v>
      </c>
      <c r="C12" s="209" t="s">
        <v>11</v>
      </c>
      <c r="D12" s="210">
        <v>5</v>
      </c>
      <c r="E12" s="211">
        <v>25</v>
      </c>
      <c r="F12" s="211">
        <f t="shared" si="0"/>
        <v>125</v>
      </c>
    </row>
    <row r="13" spans="1:10">
      <c r="A13" s="208"/>
      <c r="B13" s="209" t="s">
        <v>886</v>
      </c>
      <c r="C13" s="209" t="s">
        <v>11</v>
      </c>
      <c r="D13" s="210">
        <v>8</v>
      </c>
      <c r="E13" s="211">
        <v>25</v>
      </c>
      <c r="F13" s="211">
        <f t="shared" si="0"/>
        <v>200</v>
      </c>
      <c r="H13" s="274" t="s">
        <v>897</v>
      </c>
      <c r="I13" s="274"/>
      <c r="J13" s="274"/>
    </row>
    <row r="14" spans="1:10">
      <c r="A14" s="208">
        <v>40094</v>
      </c>
      <c r="B14" s="209" t="s">
        <v>886</v>
      </c>
      <c r="C14" s="209" t="s">
        <v>11</v>
      </c>
      <c r="D14" s="210"/>
      <c r="E14" s="211">
        <v>25</v>
      </c>
      <c r="F14" s="211">
        <f t="shared" si="0"/>
        <v>0</v>
      </c>
      <c r="H14" s="275" t="s">
        <v>898</v>
      </c>
      <c r="I14" s="275"/>
      <c r="J14" s="275"/>
    </row>
    <row r="15" spans="1:10">
      <c r="A15" s="208">
        <v>40521</v>
      </c>
      <c r="B15" s="209" t="s">
        <v>886</v>
      </c>
      <c r="C15" s="209" t="s">
        <v>11</v>
      </c>
      <c r="D15" s="210">
        <v>9</v>
      </c>
      <c r="E15" s="211">
        <v>25</v>
      </c>
      <c r="F15" s="211">
        <f t="shared" si="0"/>
        <v>225</v>
      </c>
      <c r="H15" s="273"/>
      <c r="I15" s="273"/>
      <c r="J15" s="273"/>
    </row>
    <row r="16" spans="1:10">
      <c r="A16" s="208">
        <v>39218</v>
      </c>
      <c r="B16" s="209" t="s">
        <v>891</v>
      </c>
      <c r="C16" s="209" t="s">
        <v>9</v>
      </c>
      <c r="D16" s="210">
        <v>4</v>
      </c>
      <c r="E16" s="211">
        <v>25</v>
      </c>
      <c r="F16" s="211">
        <f t="shared" si="0"/>
        <v>100</v>
      </c>
    </row>
    <row r="17" spans="1:6">
      <c r="A17" s="208">
        <v>39221</v>
      </c>
      <c r="B17" s="209" t="s">
        <v>891</v>
      </c>
      <c r="C17" s="209" t="s">
        <v>9</v>
      </c>
      <c r="D17" s="210">
        <v>7</v>
      </c>
      <c r="E17" s="211">
        <v>25</v>
      </c>
      <c r="F17" s="211">
        <f t="shared" si="0"/>
        <v>175</v>
      </c>
    </row>
    <row r="18" spans="1:6">
      <c r="A18" s="208">
        <v>39303</v>
      </c>
      <c r="B18" s="209" t="s">
        <v>887</v>
      </c>
      <c r="C18" s="209" t="s">
        <v>9</v>
      </c>
      <c r="D18" s="210"/>
      <c r="E18" s="211">
        <v>25</v>
      </c>
      <c r="F18" s="211">
        <f t="shared" si="0"/>
        <v>0</v>
      </c>
    </row>
    <row r="19" spans="1:6">
      <c r="A19" s="208"/>
      <c r="B19" s="209" t="s">
        <v>887</v>
      </c>
      <c r="C19" s="209" t="s">
        <v>9</v>
      </c>
      <c r="D19" s="210"/>
      <c r="E19" s="211">
        <v>25</v>
      </c>
      <c r="F19" s="211">
        <f t="shared" si="0"/>
        <v>0</v>
      </c>
    </row>
    <row r="20" spans="1:6">
      <c r="A20" s="208">
        <v>39528</v>
      </c>
      <c r="B20" s="209" t="s">
        <v>887</v>
      </c>
      <c r="C20" s="209" t="s">
        <v>9</v>
      </c>
      <c r="D20" s="210">
        <v>11</v>
      </c>
      <c r="E20" s="211">
        <v>25</v>
      </c>
      <c r="F20" s="211">
        <f t="shared" si="0"/>
        <v>275</v>
      </c>
    </row>
    <row r="21" spans="1:6">
      <c r="A21" s="208">
        <v>39559</v>
      </c>
      <c r="B21" s="209" t="s">
        <v>886</v>
      </c>
      <c r="C21" s="209" t="s">
        <v>9</v>
      </c>
      <c r="D21" s="210">
        <v>12</v>
      </c>
      <c r="E21" s="211">
        <v>25</v>
      </c>
      <c r="F21" s="211">
        <f t="shared" si="0"/>
        <v>300</v>
      </c>
    </row>
    <row r="22" spans="1:6">
      <c r="A22" s="208">
        <v>39182</v>
      </c>
      <c r="B22" s="209" t="s">
        <v>887</v>
      </c>
      <c r="C22" s="209" t="s">
        <v>9</v>
      </c>
      <c r="D22" s="210"/>
      <c r="E22" s="211">
        <v>25</v>
      </c>
      <c r="F22" s="211">
        <f t="shared" si="0"/>
        <v>0</v>
      </c>
    </row>
    <row r="23" spans="1:6">
      <c r="A23" s="208">
        <v>39884</v>
      </c>
      <c r="B23" s="209" t="s">
        <v>887</v>
      </c>
      <c r="C23" s="209" t="s">
        <v>9</v>
      </c>
      <c r="D23" s="210">
        <v>5</v>
      </c>
      <c r="E23" s="211">
        <v>25</v>
      </c>
      <c r="F23" s="211">
        <f t="shared" si="0"/>
        <v>125</v>
      </c>
    </row>
  </sheetData>
  <mergeCells count="12">
    <mergeCell ref="H2:J2"/>
    <mergeCell ref="H1:J1"/>
    <mergeCell ref="H3:J3"/>
    <mergeCell ref="H5:J5"/>
    <mergeCell ref="H6:J6"/>
    <mergeCell ref="H15:J15"/>
    <mergeCell ref="H7:J7"/>
    <mergeCell ref="H9:J9"/>
    <mergeCell ref="H10:J10"/>
    <mergeCell ref="H11:J11"/>
    <mergeCell ref="H13:J13"/>
    <mergeCell ref="H14:J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22"/>
  <dimension ref="A1:D13"/>
  <sheetViews>
    <sheetView workbookViewId="0">
      <selection activeCell="D8" sqref="D8:D13"/>
    </sheetView>
  </sheetViews>
  <sheetFormatPr defaultRowHeight="15"/>
  <cols>
    <col min="1" max="1" width="9.140625" style="53"/>
    <col min="2" max="2" width="14.7109375" style="55" bestFit="1" customWidth="1"/>
    <col min="3" max="4" width="12" bestFit="1" customWidth="1"/>
  </cols>
  <sheetData>
    <row r="1" spans="1:4">
      <c r="A1" s="88" t="s">
        <v>884</v>
      </c>
      <c r="B1" s="92">
        <f ca="1">TODAY()</f>
        <v>44053</v>
      </c>
      <c r="C1" s="15"/>
      <c r="D1" s="15"/>
    </row>
    <row r="2" spans="1:4">
      <c r="A2" s="89"/>
      <c r="B2" s="93"/>
      <c r="C2" s="15"/>
      <c r="D2" s="15"/>
    </row>
    <row r="3" spans="1:4">
      <c r="A3" s="90" t="s">
        <v>899</v>
      </c>
      <c r="B3" s="94">
        <v>0</v>
      </c>
      <c r="C3" s="94">
        <v>18</v>
      </c>
      <c r="D3" s="94">
        <v>54</v>
      </c>
    </row>
    <row r="4" spans="1:4">
      <c r="A4" s="90" t="s">
        <v>900</v>
      </c>
      <c r="B4" s="91" t="s">
        <v>901</v>
      </c>
      <c r="C4" s="17" t="s">
        <v>902</v>
      </c>
      <c r="D4" s="17" t="s">
        <v>903</v>
      </c>
    </row>
    <row r="5" spans="1:4">
      <c r="A5" s="90" t="s">
        <v>904</v>
      </c>
      <c r="B5" s="97">
        <v>45.8</v>
      </c>
      <c r="C5" s="97">
        <v>35</v>
      </c>
      <c r="D5" s="97">
        <v>52.47</v>
      </c>
    </row>
    <row r="6" spans="1:4">
      <c r="A6" s="89"/>
      <c r="B6" s="93"/>
      <c r="C6" s="15"/>
      <c r="D6" s="15"/>
    </row>
    <row r="7" spans="1:4">
      <c r="A7" s="90" t="s">
        <v>905</v>
      </c>
      <c r="B7" s="95" t="s">
        <v>906</v>
      </c>
      <c r="C7" s="16" t="s">
        <v>899</v>
      </c>
      <c r="D7" s="16" t="s">
        <v>900</v>
      </c>
    </row>
    <row r="8" spans="1:4">
      <c r="A8" s="91" t="s">
        <v>907</v>
      </c>
      <c r="B8" s="96">
        <v>37679</v>
      </c>
      <c r="C8" s="18">
        <f ca="1">($B$1-B8)/365</f>
        <v>17.463013698630139</v>
      </c>
      <c r="D8" s="91"/>
    </row>
    <row r="9" spans="1:4">
      <c r="A9" s="91" t="s">
        <v>908</v>
      </c>
      <c r="B9" s="96">
        <v>18903</v>
      </c>
      <c r="C9" s="18">
        <f t="shared" ref="C9:C13" ca="1" si="0">($B$1-B9)/365</f>
        <v>68.904109589041099</v>
      </c>
      <c r="D9" s="91"/>
    </row>
    <row r="10" spans="1:4">
      <c r="A10" s="91" t="s">
        <v>909</v>
      </c>
      <c r="B10" s="96">
        <v>32868</v>
      </c>
      <c r="C10" s="18">
        <f t="shared" ca="1" si="0"/>
        <v>30.643835616438356</v>
      </c>
      <c r="D10" s="91"/>
    </row>
    <row r="11" spans="1:4">
      <c r="A11" s="91" t="s">
        <v>910</v>
      </c>
      <c r="B11" s="96">
        <v>38538</v>
      </c>
      <c r="C11" s="18">
        <f t="shared" ca="1" si="0"/>
        <v>15.109589041095891</v>
      </c>
      <c r="D11" s="91"/>
    </row>
    <row r="12" spans="1:4">
      <c r="A12" s="91" t="s">
        <v>911</v>
      </c>
      <c r="B12" s="96">
        <v>20054</v>
      </c>
      <c r="C12" s="18">
        <f t="shared" ca="1" si="0"/>
        <v>65.750684931506854</v>
      </c>
      <c r="D12" s="91"/>
    </row>
    <row r="13" spans="1:4">
      <c r="A13" s="91" t="s">
        <v>912</v>
      </c>
      <c r="B13" s="96">
        <v>27154</v>
      </c>
      <c r="C13" s="18">
        <f t="shared" ca="1" si="0"/>
        <v>46.298630136986304</v>
      </c>
      <c r="D13" s="91"/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Plan23"/>
  <dimension ref="A1:I18"/>
  <sheetViews>
    <sheetView workbookViewId="0">
      <selection activeCell="B3" sqref="B3"/>
    </sheetView>
  </sheetViews>
  <sheetFormatPr defaultRowHeight="15"/>
  <cols>
    <col min="1" max="1" width="13" customWidth="1"/>
    <col min="2" max="2" width="23.7109375" customWidth="1"/>
    <col min="4" max="4" width="9.28515625" style="53" bestFit="1" customWidth="1"/>
    <col min="5" max="5" width="28" style="53" bestFit="1" customWidth="1"/>
    <col min="6" max="6" width="17.7109375" style="53" bestFit="1" customWidth="1"/>
    <col min="7" max="7" width="15.5703125" style="53" bestFit="1" customWidth="1"/>
    <col min="8" max="8" width="6.85546875" style="53" bestFit="1" customWidth="1"/>
  </cols>
  <sheetData>
    <row r="1" spans="1:9" ht="15.75" thickBot="1">
      <c r="A1" s="276" t="s">
        <v>913</v>
      </c>
      <c r="B1" s="277"/>
      <c r="C1" s="19"/>
      <c r="D1" s="98" t="s">
        <v>914</v>
      </c>
      <c r="E1" s="99" t="s">
        <v>915</v>
      </c>
      <c r="F1" s="99" t="s">
        <v>769</v>
      </c>
      <c r="G1" s="99" t="s">
        <v>768</v>
      </c>
      <c r="H1" s="99" t="s">
        <v>916</v>
      </c>
      <c r="I1" s="19"/>
    </row>
    <row r="2" spans="1:9" ht="15.75" thickBot="1">
      <c r="A2" s="278"/>
      <c r="B2" s="279"/>
      <c r="C2" s="19"/>
      <c r="D2" s="101" t="s">
        <v>917</v>
      </c>
      <c r="E2" s="100" t="s">
        <v>918</v>
      </c>
      <c r="F2" s="100" t="s">
        <v>919</v>
      </c>
      <c r="G2" s="100" t="s">
        <v>920</v>
      </c>
      <c r="H2" s="100" t="s">
        <v>921</v>
      </c>
      <c r="I2" s="19"/>
    </row>
    <row r="3" spans="1:9" ht="15.75" thickBot="1">
      <c r="A3" s="102" t="s">
        <v>922</v>
      </c>
      <c r="B3" s="103"/>
      <c r="C3" s="19"/>
      <c r="D3" s="101" t="s">
        <v>924</v>
      </c>
      <c r="E3" s="100" t="s">
        <v>925</v>
      </c>
      <c r="F3" s="100" t="s">
        <v>926</v>
      </c>
      <c r="G3" s="100" t="s">
        <v>927</v>
      </c>
      <c r="H3" s="100" t="s">
        <v>38</v>
      </c>
      <c r="I3" s="19"/>
    </row>
    <row r="4" spans="1:9" ht="15.75" thickBot="1">
      <c r="A4" s="104" t="s">
        <v>928</v>
      </c>
      <c r="B4" s="105"/>
      <c r="C4" s="19"/>
      <c r="D4" s="101" t="s">
        <v>929</v>
      </c>
      <c r="E4" s="100" t="s">
        <v>930</v>
      </c>
      <c r="F4" s="100" t="s">
        <v>931</v>
      </c>
      <c r="G4" s="100" t="s">
        <v>932</v>
      </c>
      <c r="H4" s="100" t="s">
        <v>49</v>
      </c>
      <c r="I4" s="19"/>
    </row>
    <row r="5" spans="1:9" ht="15.75" thickBot="1">
      <c r="A5" s="106" t="s">
        <v>933</v>
      </c>
      <c r="B5" s="105"/>
      <c r="C5" s="19"/>
      <c r="D5" s="101" t="s">
        <v>934</v>
      </c>
      <c r="E5" s="100" t="s">
        <v>935</v>
      </c>
      <c r="F5" s="100" t="s">
        <v>936</v>
      </c>
      <c r="G5" s="100" t="s">
        <v>937</v>
      </c>
      <c r="H5" s="100" t="s">
        <v>38</v>
      </c>
      <c r="I5" s="19"/>
    </row>
    <row r="6" spans="1:9" ht="15.75" thickBot="1">
      <c r="A6" s="106" t="s">
        <v>938</v>
      </c>
      <c r="B6" s="100"/>
      <c r="C6" s="19"/>
      <c r="D6" s="101" t="s">
        <v>939</v>
      </c>
      <c r="E6" s="100" t="s">
        <v>940</v>
      </c>
      <c r="F6" s="100" t="s">
        <v>941</v>
      </c>
      <c r="G6" s="100" t="s">
        <v>942</v>
      </c>
      <c r="H6" s="100" t="s">
        <v>38</v>
      </c>
      <c r="I6" s="19"/>
    </row>
    <row r="7" spans="1:9" ht="15.75" thickBot="1">
      <c r="A7" s="106" t="s">
        <v>943</v>
      </c>
      <c r="B7" s="105"/>
      <c r="C7" s="19"/>
      <c r="D7" s="101" t="s">
        <v>923</v>
      </c>
      <c r="E7" s="100" t="s">
        <v>944</v>
      </c>
      <c r="F7" s="100" t="s">
        <v>919</v>
      </c>
      <c r="G7" s="100" t="s">
        <v>945</v>
      </c>
      <c r="H7" s="100" t="s">
        <v>252</v>
      </c>
      <c r="I7" s="19"/>
    </row>
    <row r="8" spans="1:9" ht="15.75" thickBot="1">
      <c r="A8" s="19"/>
      <c r="B8" s="19"/>
      <c r="C8" s="19"/>
      <c r="D8" s="101" t="s">
        <v>946</v>
      </c>
      <c r="E8" s="100" t="s">
        <v>947</v>
      </c>
      <c r="F8" s="100" t="s">
        <v>948</v>
      </c>
      <c r="G8" s="100" t="s">
        <v>949</v>
      </c>
      <c r="H8" s="100" t="s">
        <v>38</v>
      </c>
      <c r="I8" s="19"/>
    </row>
    <row r="9" spans="1:9" ht="15.75" thickBot="1">
      <c r="A9" s="19"/>
      <c r="B9" s="19"/>
      <c r="C9" s="19"/>
      <c r="D9" s="101" t="s">
        <v>950</v>
      </c>
      <c r="E9" s="100" t="s">
        <v>951</v>
      </c>
      <c r="F9" s="100" t="s">
        <v>952</v>
      </c>
      <c r="G9" s="100" t="s">
        <v>953</v>
      </c>
      <c r="H9" s="100" t="s">
        <v>38</v>
      </c>
      <c r="I9" s="19"/>
    </row>
    <row r="10" spans="1:9" ht="15.75" thickBot="1">
      <c r="A10" s="19"/>
      <c r="B10" s="19"/>
      <c r="C10" s="19"/>
      <c r="D10" s="101" t="s">
        <v>954</v>
      </c>
      <c r="E10" s="100" t="s">
        <v>955</v>
      </c>
      <c r="F10" s="100" t="s">
        <v>956</v>
      </c>
      <c r="G10" s="100" t="s">
        <v>957</v>
      </c>
      <c r="H10" s="100" t="s">
        <v>958</v>
      </c>
      <c r="I10" s="19"/>
    </row>
    <row r="11" spans="1:9" ht="15.75" thickBot="1">
      <c r="A11" s="19"/>
      <c r="B11" s="19"/>
      <c r="C11" s="19"/>
      <c r="D11" s="101" t="s">
        <v>959</v>
      </c>
      <c r="E11" s="100" t="s">
        <v>960</v>
      </c>
      <c r="F11" s="100" t="s">
        <v>961</v>
      </c>
      <c r="G11" s="100" t="s">
        <v>962</v>
      </c>
      <c r="H11" s="100" t="s">
        <v>139</v>
      </c>
      <c r="I11" s="19"/>
    </row>
    <row r="12" spans="1:9" ht="15.75" thickBot="1">
      <c r="A12" s="19"/>
      <c r="B12" s="19"/>
      <c r="C12" s="19"/>
      <c r="D12" s="101" t="s">
        <v>963</v>
      </c>
      <c r="E12" s="100" t="s">
        <v>964</v>
      </c>
      <c r="F12" s="100" t="s">
        <v>965</v>
      </c>
      <c r="G12" s="100" t="s">
        <v>937</v>
      </c>
      <c r="H12" s="100" t="s">
        <v>38</v>
      </c>
      <c r="I12" s="19"/>
    </row>
    <row r="13" spans="1:9" ht="15.75" thickBot="1">
      <c r="A13" s="19"/>
      <c r="B13" s="19"/>
      <c r="C13" s="19"/>
      <c r="D13" s="101" t="s">
        <v>966</v>
      </c>
      <c r="E13" s="100" t="s">
        <v>967</v>
      </c>
      <c r="F13" s="100" t="s">
        <v>968</v>
      </c>
      <c r="G13" s="100" t="s">
        <v>927</v>
      </c>
      <c r="H13" s="100" t="s">
        <v>38</v>
      </c>
      <c r="I13" s="19"/>
    </row>
    <row r="14" spans="1:9" ht="15.75" thickBot="1">
      <c r="A14" s="19"/>
      <c r="B14" s="19"/>
      <c r="C14" s="19"/>
      <c r="D14" s="101" t="s">
        <v>969</v>
      </c>
      <c r="E14" s="100" t="s">
        <v>970</v>
      </c>
      <c r="F14" s="100" t="s">
        <v>919</v>
      </c>
      <c r="G14" s="100" t="s">
        <v>971</v>
      </c>
      <c r="H14" s="100" t="s">
        <v>57</v>
      </c>
      <c r="I14" s="19"/>
    </row>
    <row r="15" spans="1:9" ht="15.75" thickBot="1">
      <c r="A15" s="19"/>
      <c r="B15" s="19"/>
      <c r="C15" s="19"/>
      <c r="D15" s="101" t="s">
        <v>972</v>
      </c>
      <c r="E15" s="100" t="s">
        <v>973</v>
      </c>
      <c r="F15" s="100" t="s">
        <v>974</v>
      </c>
      <c r="G15" s="100" t="s">
        <v>975</v>
      </c>
      <c r="H15" s="100" t="s">
        <v>161</v>
      </c>
      <c r="I15" s="19"/>
    </row>
    <row r="16" spans="1:9" ht="15.75" thickBot="1">
      <c r="A16" s="19"/>
      <c r="B16" s="19"/>
      <c r="C16" s="19"/>
      <c r="D16" s="101" t="s">
        <v>976</v>
      </c>
      <c r="E16" s="100" t="s">
        <v>977</v>
      </c>
      <c r="F16" s="100" t="s">
        <v>978</v>
      </c>
      <c r="G16" s="100" t="s">
        <v>979</v>
      </c>
      <c r="H16" s="100" t="s">
        <v>86</v>
      </c>
      <c r="I16" s="19"/>
    </row>
    <row r="17" spans="1:9">
      <c r="A17" s="19"/>
      <c r="B17" s="19"/>
      <c r="C17" s="19"/>
      <c r="D17" s="57"/>
      <c r="E17" s="57"/>
      <c r="F17" s="57"/>
      <c r="G17" s="57"/>
      <c r="H17" s="57"/>
      <c r="I17" s="19"/>
    </row>
    <row r="18" spans="1:9">
      <c r="A18" s="19"/>
      <c r="B18" s="19"/>
      <c r="C18" s="19"/>
      <c r="D18" s="57"/>
      <c r="E18" s="57"/>
      <c r="F18" s="57"/>
      <c r="G18" s="57"/>
      <c r="H18" s="57"/>
      <c r="I18" s="19"/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Plan24"/>
  <dimension ref="A1:M42"/>
  <sheetViews>
    <sheetView workbookViewId="0">
      <selection activeCell="O8" sqref="O8"/>
    </sheetView>
  </sheetViews>
  <sheetFormatPr defaultRowHeight="15"/>
  <cols>
    <col min="1" max="1" width="10.28515625" style="53" bestFit="1" customWidth="1"/>
    <col min="2" max="2" width="28.7109375" style="53" bestFit="1" customWidth="1"/>
    <col min="3" max="3" width="5.28515625" customWidth="1"/>
    <col min="4" max="4" width="8.42578125" style="55" bestFit="1" customWidth="1"/>
    <col min="5" max="9" width="14.28515625" style="55" bestFit="1" customWidth="1"/>
    <col min="10" max="10" width="8.140625" style="55" bestFit="1" customWidth="1"/>
    <col min="12" max="12" width="11" bestFit="1" customWidth="1"/>
    <col min="13" max="13" width="12.42578125" bestFit="1" customWidth="1"/>
  </cols>
  <sheetData>
    <row r="1" spans="1:13">
      <c r="A1" s="286" t="s">
        <v>980</v>
      </c>
      <c r="B1" s="286" t="s">
        <v>981</v>
      </c>
      <c r="C1" s="287" t="s">
        <v>982</v>
      </c>
      <c r="D1" s="287"/>
      <c r="E1" s="284" t="s">
        <v>818</v>
      </c>
      <c r="F1" s="284" t="s">
        <v>983</v>
      </c>
      <c r="G1" s="284" t="s">
        <v>984</v>
      </c>
      <c r="H1" s="284" t="s">
        <v>985</v>
      </c>
      <c r="I1" s="284" t="s">
        <v>986</v>
      </c>
      <c r="J1" s="284" t="s">
        <v>987</v>
      </c>
    </row>
    <row r="2" spans="1:13">
      <c r="A2" s="286"/>
      <c r="B2" s="286"/>
      <c r="C2" s="20" t="s">
        <v>988</v>
      </c>
      <c r="D2" s="108" t="s">
        <v>1004</v>
      </c>
      <c r="E2" s="284"/>
      <c r="F2" s="284"/>
      <c r="G2" s="284"/>
      <c r="H2" s="284"/>
      <c r="I2" s="284"/>
      <c r="J2" s="284"/>
    </row>
    <row r="3" spans="1:13">
      <c r="A3" s="50" t="s">
        <v>990</v>
      </c>
      <c r="B3" s="50" t="s">
        <v>991</v>
      </c>
      <c r="C3" s="12" t="s">
        <v>992</v>
      </c>
      <c r="D3" s="56">
        <v>8</v>
      </c>
      <c r="E3" s="107">
        <v>231900</v>
      </c>
      <c r="F3" s="107">
        <f>E3*(1+0.2)</f>
        <v>278280</v>
      </c>
      <c r="G3" s="107">
        <f>E3*(1+0.12)</f>
        <v>259728.00000000003</v>
      </c>
      <c r="H3" s="107">
        <f>E3*(1+0.1)</f>
        <v>255090.00000000003</v>
      </c>
      <c r="I3" s="107">
        <f>E3*(1+0.08)</f>
        <v>250452.00000000003</v>
      </c>
      <c r="J3" s="56">
        <v>164</v>
      </c>
      <c r="L3" s="22" t="s">
        <v>993</v>
      </c>
      <c r="M3" s="22" t="s">
        <v>994</v>
      </c>
    </row>
    <row r="4" spans="1:13">
      <c r="A4" s="50" t="s">
        <v>990</v>
      </c>
      <c r="B4" s="50" t="s">
        <v>995</v>
      </c>
      <c r="C4" s="12" t="s">
        <v>996</v>
      </c>
      <c r="D4" s="56">
        <v>10</v>
      </c>
      <c r="E4" s="107">
        <v>777000</v>
      </c>
      <c r="F4" s="107">
        <f t="shared" ref="F4:F42" si="0">E4*(1+0.2)</f>
        <v>932400</v>
      </c>
      <c r="G4" s="107">
        <f t="shared" ref="G4:G42" si="1">E4*(1+0.12)</f>
        <v>870240.00000000012</v>
      </c>
      <c r="H4" s="107">
        <f t="shared" ref="H4:H42" si="2">E4*(1+0.1)</f>
        <v>854700.00000000012</v>
      </c>
      <c r="I4" s="107">
        <f t="shared" ref="I4:I42" si="3">E4*(1+0.08)</f>
        <v>839160</v>
      </c>
      <c r="J4" s="56">
        <v>168</v>
      </c>
      <c r="L4" s="50" t="s">
        <v>980</v>
      </c>
      <c r="M4" s="12">
        <v>1</v>
      </c>
    </row>
    <row r="5" spans="1:13">
      <c r="A5" s="50" t="s">
        <v>997</v>
      </c>
      <c r="B5" s="50" t="s">
        <v>998</v>
      </c>
      <c r="C5" s="12" t="s">
        <v>999</v>
      </c>
      <c r="D5" s="56">
        <v>8</v>
      </c>
      <c r="E5" s="107">
        <v>318000</v>
      </c>
      <c r="F5" s="107">
        <f t="shared" si="0"/>
        <v>381600</v>
      </c>
      <c r="G5" s="107">
        <f t="shared" si="1"/>
        <v>356160.00000000006</v>
      </c>
      <c r="H5" s="107">
        <f t="shared" si="2"/>
        <v>349800</v>
      </c>
      <c r="I5" s="107">
        <f t="shared" si="3"/>
        <v>343440</v>
      </c>
      <c r="J5" s="56">
        <v>20</v>
      </c>
      <c r="L5" s="50" t="s">
        <v>981</v>
      </c>
      <c r="M5" s="12">
        <v>2</v>
      </c>
    </row>
    <row r="6" spans="1:13">
      <c r="A6" s="50" t="s">
        <v>997</v>
      </c>
      <c r="B6" s="50" t="s">
        <v>1000</v>
      </c>
      <c r="C6" s="12" t="s">
        <v>1001</v>
      </c>
      <c r="D6" s="56">
        <v>8</v>
      </c>
      <c r="E6" s="107">
        <v>448000</v>
      </c>
      <c r="F6" s="107">
        <f t="shared" si="0"/>
        <v>537600</v>
      </c>
      <c r="G6" s="107">
        <f t="shared" si="1"/>
        <v>501760.00000000006</v>
      </c>
      <c r="H6" s="107">
        <f t="shared" si="2"/>
        <v>492800.00000000006</v>
      </c>
      <c r="I6" s="107">
        <f t="shared" si="3"/>
        <v>483840.00000000006</v>
      </c>
      <c r="J6" s="56">
        <v>132</v>
      </c>
      <c r="L6" s="50" t="s">
        <v>988</v>
      </c>
      <c r="M6" s="12">
        <v>3</v>
      </c>
    </row>
    <row r="7" spans="1:13">
      <c r="A7" s="50" t="s">
        <v>1002</v>
      </c>
      <c r="B7" s="50" t="s">
        <v>1003</v>
      </c>
      <c r="C7" s="12" t="s">
        <v>992</v>
      </c>
      <c r="D7" s="56">
        <v>8</v>
      </c>
      <c r="E7" s="107">
        <v>122500</v>
      </c>
      <c r="F7" s="107">
        <f t="shared" si="0"/>
        <v>147000</v>
      </c>
      <c r="G7" s="107">
        <f t="shared" si="1"/>
        <v>137200</v>
      </c>
      <c r="H7" s="107">
        <f t="shared" si="2"/>
        <v>134750</v>
      </c>
      <c r="I7" s="107">
        <f t="shared" si="3"/>
        <v>132300</v>
      </c>
      <c r="J7" s="56">
        <v>136</v>
      </c>
      <c r="L7" s="50" t="s">
        <v>1004</v>
      </c>
      <c r="M7" s="12">
        <v>4</v>
      </c>
    </row>
    <row r="8" spans="1:13">
      <c r="A8" s="50" t="s">
        <v>1005</v>
      </c>
      <c r="B8" s="50" t="s">
        <v>1006</v>
      </c>
      <c r="C8" s="12" t="s">
        <v>1007</v>
      </c>
      <c r="D8" s="56">
        <v>8</v>
      </c>
      <c r="E8" s="107">
        <v>166000</v>
      </c>
      <c r="F8" s="107">
        <f t="shared" si="0"/>
        <v>199200</v>
      </c>
      <c r="G8" s="107">
        <f t="shared" si="1"/>
        <v>185920.00000000003</v>
      </c>
      <c r="H8" s="107">
        <f t="shared" si="2"/>
        <v>182600.00000000003</v>
      </c>
      <c r="I8" s="107">
        <f t="shared" si="3"/>
        <v>179280</v>
      </c>
      <c r="J8" s="56">
        <v>140</v>
      </c>
      <c r="L8" s="50" t="s">
        <v>818</v>
      </c>
      <c r="M8" s="12">
        <v>5</v>
      </c>
    </row>
    <row r="9" spans="1:13">
      <c r="A9" s="50" t="s">
        <v>1008</v>
      </c>
      <c r="B9" s="50" t="s">
        <v>1009</v>
      </c>
      <c r="C9" s="12" t="s">
        <v>1010</v>
      </c>
      <c r="D9" s="56">
        <v>8</v>
      </c>
      <c r="E9" s="107">
        <v>42500</v>
      </c>
      <c r="F9" s="107">
        <f t="shared" si="0"/>
        <v>51000</v>
      </c>
      <c r="G9" s="107">
        <f t="shared" si="1"/>
        <v>47600.000000000007</v>
      </c>
      <c r="H9" s="107">
        <f t="shared" si="2"/>
        <v>46750.000000000007</v>
      </c>
      <c r="I9" s="107">
        <f t="shared" si="3"/>
        <v>45900</v>
      </c>
      <c r="J9" s="56">
        <v>144</v>
      </c>
      <c r="L9" s="50" t="s">
        <v>983</v>
      </c>
      <c r="M9" s="12">
        <v>6</v>
      </c>
    </row>
    <row r="10" spans="1:13">
      <c r="A10" s="50" t="s">
        <v>1008</v>
      </c>
      <c r="B10" s="50" t="s">
        <v>1011</v>
      </c>
      <c r="C10" s="12" t="s">
        <v>1012</v>
      </c>
      <c r="D10" s="56">
        <v>16</v>
      </c>
      <c r="E10" s="107">
        <v>48000</v>
      </c>
      <c r="F10" s="107">
        <f t="shared" si="0"/>
        <v>57600</v>
      </c>
      <c r="G10" s="107">
        <f t="shared" si="1"/>
        <v>53760.000000000007</v>
      </c>
      <c r="H10" s="107">
        <f t="shared" si="2"/>
        <v>52800.000000000007</v>
      </c>
      <c r="I10" s="107">
        <f t="shared" si="3"/>
        <v>51840</v>
      </c>
      <c r="J10" s="56">
        <v>148</v>
      </c>
      <c r="L10" s="50" t="s">
        <v>984</v>
      </c>
      <c r="M10" s="12">
        <v>7</v>
      </c>
    </row>
    <row r="11" spans="1:13">
      <c r="A11" s="50" t="s">
        <v>1008</v>
      </c>
      <c r="B11" s="50" t="s">
        <v>1013</v>
      </c>
      <c r="C11" s="12" t="s">
        <v>992</v>
      </c>
      <c r="D11" s="56">
        <v>16</v>
      </c>
      <c r="E11" s="107">
        <v>66500</v>
      </c>
      <c r="F11" s="107">
        <f t="shared" si="0"/>
        <v>79800</v>
      </c>
      <c r="G11" s="107">
        <f t="shared" si="1"/>
        <v>74480</v>
      </c>
      <c r="H11" s="107">
        <f t="shared" si="2"/>
        <v>73150</v>
      </c>
      <c r="I11" s="107">
        <f t="shared" si="3"/>
        <v>71820</v>
      </c>
      <c r="J11" s="56">
        <v>152</v>
      </c>
      <c r="L11" s="50" t="s">
        <v>985</v>
      </c>
      <c r="M11" s="12">
        <v>8</v>
      </c>
    </row>
    <row r="12" spans="1:13">
      <c r="A12" s="50" t="s">
        <v>1008</v>
      </c>
      <c r="B12" s="50" t="s">
        <v>1014</v>
      </c>
      <c r="C12" s="12" t="s">
        <v>992</v>
      </c>
      <c r="D12" s="56">
        <v>16</v>
      </c>
      <c r="E12" s="107">
        <v>109900</v>
      </c>
      <c r="F12" s="107">
        <f t="shared" si="0"/>
        <v>131880</v>
      </c>
      <c r="G12" s="107">
        <f t="shared" si="1"/>
        <v>123088.00000000001</v>
      </c>
      <c r="H12" s="107">
        <f t="shared" si="2"/>
        <v>120890.00000000001</v>
      </c>
      <c r="I12" s="107">
        <f t="shared" si="3"/>
        <v>118692.00000000001</v>
      </c>
      <c r="J12" s="56">
        <v>156</v>
      </c>
      <c r="L12" s="50" t="s">
        <v>986</v>
      </c>
      <c r="M12" s="12">
        <v>9</v>
      </c>
    </row>
    <row r="13" spans="1:13">
      <c r="A13" s="50" t="s">
        <v>1008</v>
      </c>
      <c r="B13" s="50" t="s">
        <v>1015</v>
      </c>
      <c r="C13" s="12" t="s">
        <v>1012</v>
      </c>
      <c r="D13" s="56">
        <v>16</v>
      </c>
      <c r="E13" s="107">
        <v>54075</v>
      </c>
      <c r="F13" s="107">
        <f t="shared" si="0"/>
        <v>64890</v>
      </c>
      <c r="G13" s="107">
        <f t="shared" si="1"/>
        <v>60564.000000000007</v>
      </c>
      <c r="H13" s="107">
        <f t="shared" si="2"/>
        <v>59482.500000000007</v>
      </c>
      <c r="I13" s="107">
        <f t="shared" si="3"/>
        <v>58401.000000000007</v>
      </c>
      <c r="J13" s="56">
        <v>160</v>
      </c>
      <c r="L13" s="50" t="s">
        <v>987</v>
      </c>
      <c r="M13" s="12">
        <v>10</v>
      </c>
    </row>
    <row r="14" spans="1:13">
      <c r="A14" s="50" t="s">
        <v>1016</v>
      </c>
      <c r="B14" s="50" t="s">
        <v>1017</v>
      </c>
      <c r="C14" s="12" t="s">
        <v>1010</v>
      </c>
      <c r="D14" s="56">
        <v>16</v>
      </c>
      <c r="E14" s="107">
        <v>62100</v>
      </c>
      <c r="F14" s="107">
        <f t="shared" si="0"/>
        <v>74520</v>
      </c>
      <c r="G14" s="107">
        <f t="shared" si="1"/>
        <v>69552</v>
      </c>
      <c r="H14" s="107">
        <f t="shared" si="2"/>
        <v>68310</v>
      </c>
      <c r="I14" s="107">
        <f t="shared" si="3"/>
        <v>67068</v>
      </c>
      <c r="J14" s="56">
        <v>104</v>
      </c>
    </row>
    <row r="15" spans="1:13">
      <c r="A15" s="50" t="s">
        <v>1016</v>
      </c>
      <c r="B15" s="50" t="s">
        <v>1018</v>
      </c>
      <c r="C15" s="12" t="s">
        <v>1010</v>
      </c>
      <c r="D15" s="56">
        <v>8</v>
      </c>
      <c r="E15" s="107">
        <v>41000</v>
      </c>
      <c r="F15" s="107">
        <f t="shared" si="0"/>
        <v>49200</v>
      </c>
      <c r="G15" s="107">
        <f t="shared" si="1"/>
        <v>45920.000000000007</v>
      </c>
      <c r="H15" s="107">
        <f t="shared" si="2"/>
        <v>45100.000000000007</v>
      </c>
      <c r="I15" s="107">
        <f t="shared" si="3"/>
        <v>44280</v>
      </c>
      <c r="J15" s="56">
        <v>108</v>
      </c>
      <c r="L15" s="280" t="s">
        <v>1019</v>
      </c>
      <c r="M15" s="280"/>
    </row>
    <row r="16" spans="1:13">
      <c r="A16" s="50" t="s">
        <v>1016</v>
      </c>
      <c r="B16" s="50" t="s">
        <v>1020</v>
      </c>
      <c r="C16" s="12" t="s">
        <v>1021</v>
      </c>
      <c r="D16" s="56">
        <v>16</v>
      </c>
      <c r="E16" s="107">
        <v>50000</v>
      </c>
      <c r="F16" s="107">
        <f t="shared" si="0"/>
        <v>60000</v>
      </c>
      <c r="G16" s="107">
        <f t="shared" si="1"/>
        <v>56000.000000000007</v>
      </c>
      <c r="H16" s="107">
        <f t="shared" si="2"/>
        <v>55000.000000000007</v>
      </c>
      <c r="I16" s="107">
        <f t="shared" si="3"/>
        <v>54000</v>
      </c>
      <c r="J16" s="56">
        <v>112</v>
      </c>
      <c r="L16" s="281" t="s">
        <v>1022</v>
      </c>
      <c r="M16" s="281"/>
    </row>
    <row r="17" spans="1:13">
      <c r="A17" s="50" t="s">
        <v>1016</v>
      </c>
      <c r="B17" s="50" t="s">
        <v>1023</v>
      </c>
      <c r="C17" s="12" t="s">
        <v>1010</v>
      </c>
      <c r="D17" s="56">
        <v>8</v>
      </c>
      <c r="E17" s="107">
        <v>35956</v>
      </c>
      <c r="F17" s="107">
        <f t="shared" si="0"/>
        <v>43147.199999999997</v>
      </c>
      <c r="G17" s="107">
        <f t="shared" si="1"/>
        <v>40270.720000000001</v>
      </c>
      <c r="H17" s="107">
        <f t="shared" si="2"/>
        <v>39551.600000000006</v>
      </c>
      <c r="I17" s="107">
        <f t="shared" si="3"/>
        <v>38832.480000000003</v>
      </c>
      <c r="J17" s="56">
        <v>116</v>
      </c>
      <c r="L17" s="285"/>
      <c r="M17" s="285"/>
    </row>
    <row r="18" spans="1:13">
      <c r="A18" s="50" t="s">
        <v>1016</v>
      </c>
      <c r="B18" s="50" t="s">
        <v>1024</v>
      </c>
      <c r="C18" s="12" t="s">
        <v>1012</v>
      </c>
      <c r="D18" s="56">
        <v>16</v>
      </c>
      <c r="E18" s="107">
        <v>42636</v>
      </c>
      <c r="F18" s="107">
        <f t="shared" si="0"/>
        <v>51163.199999999997</v>
      </c>
      <c r="G18" s="107">
        <f t="shared" si="1"/>
        <v>47752.320000000007</v>
      </c>
      <c r="H18" s="107">
        <f t="shared" si="2"/>
        <v>46899.600000000006</v>
      </c>
      <c r="I18" s="107">
        <f t="shared" si="3"/>
        <v>46046.880000000005</v>
      </c>
      <c r="J18" s="56">
        <v>120</v>
      </c>
    </row>
    <row r="19" spans="1:13">
      <c r="A19" s="50" t="s">
        <v>1016</v>
      </c>
      <c r="B19" s="50" t="s">
        <v>1025</v>
      </c>
      <c r="C19" s="12" t="s">
        <v>1012</v>
      </c>
      <c r="D19" s="56">
        <v>16</v>
      </c>
      <c r="E19" s="107">
        <v>51600</v>
      </c>
      <c r="F19" s="107">
        <f t="shared" si="0"/>
        <v>61920</v>
      </c>
      <c r="G19" s="107">
        <f t="shared" si="1"/>
        <v>57792.000000000007</v>
      </c>
      <c r="H19" s="107">
        <f t="shared" si="2"/>
        <v>56760.000000000007</v>
      </c>
      <c r="I19" s="107">
        <f t="shared" si="3"/>
        <v>55728.000000000007</v>
      </c>
      <c r="J19" s="56">
        <v>124</v>
      </c>
      <c r="L19" s="280" t="s">
        <v>1026</v>
      </c>
      <c r="M19" s="280"/>
    </row>
    <row r="20" spans="1:13">
      <c r="A20" s="50" t="s">
        <v>1016</v>
      </c>
      <c r="B20" s="50" t="s">
        <v>1027</v>
      </c>
      <c r="C20" s="12" t="s">
        <v>1012</v>
      </c>
      <c r="D20" s="56">
        <v>16</v>
      </c>
      <c r="E20" s="107">
        <v>52632</v>
      </c>
      <c r="F20" s="107">
        <f t="shared" si="0"/>
        <v>63158.399999999994</v>
      </c>
      <c r="G20" s="107">
        <f t="shared" si="1"/>
        <v>58947.840000000004</v>
      </c>
      <c r="H20" s="107">
        <f t="shared" si="2"/>
        <v>57895.200000000004</v>
      </c>
      <c r="I20" s="107">
        <f t="shared" si="3"/>
        <v>56842.560000000005</v>
      </c>
      <c r="J20" s="56">
        <v>80</v>
      </c>
      <c r="L20" s="281" t="s">
        <v>1028</v>
      </c>
      <c r="M20" s="281"/>
    </row>
    <row r="21" spans="1:13">
      <c r="A21" s="50" t="s">
        <v>1016</v>
      </c>
      <c r="B21" s="50" t="s">
        <v>1029</v>
      </c>
      <c r="C21" s="12" t="s">
        <v>1030</v>
      </c>
      <c r="D21" s="56">
        <v>8</v>
      </c>
      <c r="E21" s="107">
        <v>28840</v>
      </c>
      <c r="F21" s="107">
        <f t="shared" si="0"/>
        <v>34608</v>
      </c>
      <c r="G21" s="107">
        <f t="shared" si="1"/>
        <v>32300.800000000003</v>
      </c>
      <c r="H21" s="107">
        <f t="shared" si="2"/>
        <v>31724.000000000004</v>
      </c>
      <c r="I21" s="107">
        <f t="shared" si="3"/>
        <v>31147.200000000001</v>
      </c>
      <c r="J21" s="56">
        <v>84</v>
      </c>
      <c r="L21" s="282"/>
      <c r="M21" s="283"/>
    </row>
    <row r="22" spans="1:13">
      <c r="A22" s="50" t="s">
        <v>1016</v>
      </c>
      <c r="B22" s="50" t="s">
        <v>1031</v>
      </c>
      <c r="C22" s="12" t="s">
        <v>1010</v>
      </c>
      <c r="D22" s="56">
        <v>8</v>
      </c>
      <c r="E22" s="107">
        <v>38781</v>
      </c>
      <c r="F22" s="107">
        <f t="shared" si="0"/>
        <v>46537.2</v>
      </c>
      <c r="G22" s="107">
        <f t="shared" si="1"/>
        <v>43434.720000000001</v>
      </c>
      <c r="H22" s="107">
        <f t="shared" si="2"/>
        <v>42659.100000000006</v>
      </c>
      <c r="I22" s="107">
        <f t="shared" si="3"/>
        <v>41883.480000000003</v>
      </c>
      <c r="J22" s="56">
        <v>88</v>
      </c>
    </row>
    <row r="23" spans="1:13">
      <c r="A23" s="50" t="s">
        <v>1016</v>
      </c>
      <c r="B23" s="50" t="s">
        <v>1032</v>
      </c>
      <c r="C23" s="12" t="s">
        <v>1030</v>
      </c>
      <c r="D23" s="56">
        <v>8</v>
      </c>
      <c r="E23" s="107">
        <v>37975</v>
      </c>
      <c r="F23" s="107">
        <f t="shared" si="0"/>
        <v>45570</v>
      </c>
      <c r="G23" s="107">
        <f t="shared" si="1"/>
        <v>42532.000000000007</v>
      </c>
      <c r="H23" s="107">
        <f t="shared" si="2"/>
        <v>41772.5</v>
      </c>
      <c r="I23" s="107">
        <f t="shared" si="3"/>
        <v>41013</v>
      </c>
      <c r="J23" s="56">
        <v>92</v>
      </c>
      <c r="L23" s="22" t="s">
        <v>1033</v>
      </c>
    </row>
    <row r="24" spans="1:13">
      <c r="A24" s="50" t="s">
        <v>1016</v>
      </c>
      <c r="B24" s="50" t="s">
        <v>1034</v>
      </c>
      <c r="C24" s="12" t="s">
        <v>1030</v>
      </c>
      <c r="D24" s="56">
        <v>8</v>
      </c>
      <c r="E24" s="107">
        <v>36903</v>
      </c>
      <c r="F24" s="107">
        <f t="shared" si="0"/>
        <v>44283.6</v>
      </c>
      <c r="G24" s="107">
        <f t="shared" si="1"/>
        <v>41331.360000000001</v>
      </c>
      <c r="H24" s="107">
        <f t="shared" si="2"/>
        <v>40593.300000000003</v>
      </c>
      <c r="I24" s="107">
        <f t="shared" si="3"/>
        <v>39855.240000000005</v>
      </c>
      <c r="J24" s="56">
        <v>12</v>
      </c>
      <c r="L24" s="12"/>
    </row>
    <row r="25" spans="1:13">
      <c r="A25" s="50" t="s">
        <v>1016</v>
      </c>
      <c r="B25" s="50" t="s">
        <v>1035</v>
      </c>
      <c r="C25" s="12" t="s">
        <v>1030</v>
      </c>
      <c r="D25" s="56">
        <v>8</v>
      </c>
      <c r="E25" s="107">
        <v>38178</v>
      </c>
      <c r="F25" s="107">
        <f t="shared" si="0"/>
        <v>45813.599999999999</v>
      </c>
      <c r="G25" s="107">
        <f t="shared" si="1"/>
        <v>42759.360000000001</v>
      </c>
      <c r="H25" s="107">
        <f t="shared" si="2"/>
        <v>41995.8</v>
      </c>
      <c r="I25" s="107">
        <f t="shared" si="3"/>
        <v>41232.240000000005</v>
      </c>
      <c r="J25" s="56">
        <v>16</v>
      </c>
    </row>
    <row r="26" spans="1:13">
      <c r="A26" s="50" t="s">
        <v>1036</v>
      </c>
      <c r="B26" s="50" t="s">
        <v>1037</v>
      </c>
      <c r="C26" s="12" t="s">
        <v>1012</v>
      </c>
      <c r="D26" s="56">
        <v>8</v>
      </c>
      <c r="E26" s="107">
        <v>31000</v>
      </c>
      <c r="F26" s="107">
        <f t="shared" si="0"/>
        <v>37200</v>
      </c>
      <c r="G26" s="107">
        <f t="shared" si="1"/>
        <v>34720</v>
      </c>
      <c r="H26" s="107">
        <f t="shared" si="2"/>
        <v>34100</v>
      </c>
      <c r="I26" s="107">
        <f t="shared" si="3"/>
        <v>33480</v>
      </c>
      <c r="J26" s="56">
        <v>128</v>
      </c>
    </row>
    <row r="27" spans="1:13">
      <c r="A27" s="50" t="s">
        <v>1036</v>
      </c>
      <c r="B27" s="50" t="s">
        <v>1038</v>
      </c>
      <c r="C27" s="12" t="s">
        <v>1012</v>
      </c>
      <c r="D27" s="56">
        <v>8</v>
      </c>
      <c r="E27" s="107">
        <v>51800</v>
      </c>
      <c r="F27" s="107">
        <f t="shared" si="0"/>
        <v>62160</v>
      </c>
      <c r="G27" s="107">
        <f t="shared" si="1"/>
        <v>58016.000000000007</v>
      </c>
      <c r="H27" s="107">
        <f t="shared" si="2"/>
        <v>56980.000000000007</v>
      </c>
      <c r="I27" s="107">
        <f t="shared" si="3"/>
        <v>55944.000000000007</v>
      </c>
      <c r="J27" s="56">
        <v>96</v>
      </c>
    </row>
    <row r="28" spans="1:13">
      <c r="A28" s="50" t="s">
        <v>1036</v>
      </c>
      <c r="B28" s="50" t="s">
        <v>1039</v>
      </c>
      <c r="C28" s="12" t="s">
        <v>992</v>
      </c>
      <c r="D28" s="56">
        <v>16</v>
      </c>
      <c r="E28" s="107">
        <v>62000</v>
      </c>
      <c r="F28" s="107">
        <f t="shared" si="0"/>
        <v>74400</v>
      </c>
      <c r="G28" s="107">
        <f t="shared" si="1"/>
        <v>69440</v>
      </c>
      <c r="H28" s="107">
        <f t="shared" si="2"/>
        <v>68200</v>
      </c>
      <c r="I28" s="107">
        <f t="shared" si="3"/>
        <v>66960</v>
      </c>
      <c r="J28" s="56">
        <v>100</v>
      </c>
    </row>
    <row r="29" spans="1:13">
      <c r="A29" s="50" t="s">
        <v>1036</v>
      </c>
      <c r="B29" s="50" t="s">
        <v>1040</v>
      </c>
      <c r="C29" s="12" t="s">
        <v>1030</v>
      </c>
      <c r="D29" s="56">
        <v>8</v>
      </c>
      <c r="E29" s="107">
        <v>24000</v>
      </c>
      <c r="F29" s="107">
        <f t="shared" si="0"/>
        <v>28800</v>
      </c>
      <c r="G29" s="107">
        <f t="shared" si="1"/>
        <v>26880.000000000004</v>
      </c>
      <c r="H29" s="107">
        <f t="shared" si="2"/>
        <v>26400.000000000004</v>
      </c>
      <c r="I29" s="107">
        <f t="shared" si="3"/>
        <v>25920</v>
      </c>
      <c r="J29" s="56">
        <v>24</v>
      </c>
    </row>
    <row r="30" spans="1:13">
      <c r="A30" s="50" t="s">
        <v>1036</v>
      </c>
      <c r="B30" s="50" t="s">
        <v>1041</v>
      </c>
      <c r="C30" s="12" t="s">
        <v>999</v>
      </c>
      <c r="D30" s="56">
        <v>16</v>
      </c>
      <c r="E30" s="107">
        <v>83500</v>
      </c>
      <c r="F30" s="107">
        <f t="shared" si="0"/>
        <v>100200</v>
      </c>
      <c r="G30" s="107">
        <f t="shared" si="1"/>
        <v>93520.000000000015</v>
      </c>
      <c r="H30" s="107">
        <f t="shared" si="2"/>
        <v>91850.000000000015</v>
      </c>
      <c r="I30" s="107">
        <f t="shared" si="3"/>
        <v>90180</v>
      </c>
      <c r="J30" s="56">
        <v>28</v>
      </c>
    </row>
    <row r="31" spans="1:13">
      <c r="A31" s="50" t="s">
        <v>1042</v>
      </c>
      <c r="B31" s="50" t="s">
        <v>1043</v>
      </c>
      <c r="C31" s="12" t="s">
        <v>1044</v>
      </c>
      <c r="D31" s="56">
        <v>16</v>
      </c>
      <c r="E31" s="107">
        <v>53620</v>
      </c>
      <c r="F31" s="107">
        <f t="shared" si="0"/>
        <v>64344</v>
      </c>
      <c r="G31" s="107">
        <f t="shared" si="1"/>
        <v>60054.400000000009</v>
      </c>
      <c r="H31" s="107">
        <f t="shared" si="2"/>
        <v>58982.000000000007</v>
      </c>
      <c r="I31" s="107">
        <f t="shared" si="3"/>
        <v>57909.600000000006</v>
      </c>
      <c r="J31" s="56">
        <v>32</v>
      </c>
    </row>
    <row r="32" spans="1:13">
      <c r="A32" s="50" t="s">
        <v>1042</v>
      </c>
      <c r="B32" s="50" t="s">
        <v>1045</v>
      </c>
      <c r="C32" s="12" t="s">
        <v>1044</v>
      </c>
      <c r="D32" s="56">
        <v>16</v>
      </c>
      <c r="E32" s="107">
        <v>114000</v>
      </c>
      <c r="F32" s="107">
        <f t="shared" si="0"/>
        <v>136800</v>
      </c>
      <c r="G32" s="107">
        <f t="shared" si="1"/>
        <v>127680.00000000001</v>
      </c>
      <c r="H32" s="107">
        <f t="shared" si="2"/>
        <v>125400.00000000001</v>
      </c>
      <c r="I32" s="107">
        <f t="shared" si="3"/>
        <v>123120.00000000001</v>
      </c>
      <c r="J32" s="56">
        <v>36</v>
      </c>
    </row>
    <row r="33" spans="1:10">
      <c r="A33" s="50" t="s">
        <v>1046</v>
      </c>
      <c r="B33" s="50" t="s">
        <v>1047</v>
      </c>
      <c r="C33" s="12" t="s">
        <v>1021</v>
      </c>
      <c r="D33" s="56">
        <v>16</v>
      </c>
      <c r="E33" s="107">
        <v>83500</v>
      </c>
      <c r="F33" s="107">
        <f t="shared" si="0"/>
        <v>100200</v>
      </c>
      <c r="G33" s="107">
        <f t="shared" si="1"/>
        <v>93520.000000000015</v>
      </c>
      <c r="H33" s="107">
        <f t="shared" si="2"/>
        <v>91850.000000000015</v>
      </c>
      <c r="I33" s="107">
        <f t="shared" si="3"/>
        <v>90180</v>
      </c>
      <c r="J33" s="56">
        <v>40</v>
      </c>
    </row>
    <row r="34" spans="1:10">
      <c r="A34" s="50" t="s">
        <v>1046</v>
      </c>
      <c r="B34" s="50" t="s">
        <v>1048</v>
      </c>
      <c r="C34" s="12" t="s">
        <v>992</v>
      </c>
      <c r="D34" s="56">
        <v>16</v>
      </c>
      <c r="E34" s="107">
        <v>153000</v>
      </c>
      <c r="F34" s="107">
        <f t="shared" si="0"/>
        <v>183600</v>
      </c>
      <c r="G34" s="107">
        <f t="shared" si="1"/>
        <v>171360.00000000003</v>
      </c>
      <c r="H34" s="107">
        <f t="shared" si="2"/>
        <v>168300</v>
      </c>
      <c r="I34" s="107">
        <f t="shared" si="3"/>
        <v>165240</v>
      </c>
      <c r="J34" s="56">
        <v>44</v>
      </c>
    </row>
    <row r="35" spans="1:10">
      <c r="A35" s="50" t="s">
        <v>1046</v>
      </c>
      <c r="B35" s="50" t="s">
        <v>1049</v>
      </c>
      <c r="C35" s="12" t="s">
        <v>1050</v>
      </c>
      <c r="D35" s="56">
        <v>16</v>
      </c>
      <c r="E35" s="107">
        <v>99000</v>
      </c>
      <c r="F35" s="107">
        <f t="shared" si="0"/>
        <v>118800</v>
      </c>
      <c r="G35" s="107">
        <f t="shared" si="1"/>
        <v>110880.00000000001</v>
      </c>
      <c r="H35" s="107">
        <f t="shared" si="2"/>
        <v>108900.00000000001</v>
      </c>
      <c r="I35" s="107">
        <f t="shared" si="3"/>
        <v>106920</v>
      </c>
      <c r="J35" s="56">
        <v>48</v>
      </c>
    </row>
    <row r="36" spans="1:10">
      <c r="A36" s="50" t="s">
        <v>1046</v>
      </c>
      <c r="B36" s="50" t="s">
        <v>1051</v>
      </c>
      <c r="C36" s="12" t="s">
        <v>1050</v>
      </c>
      <c r="D36" s="56">
        <v>16</v>
      </c>
      <c r="E36" s="107">
        <v>106232</v>
      </c>
      <c r="F36" s="107">
        <f t="shared" si="0"/>
        <v>127478.39999999999</v>
      </c>
      <c r="G36" s="107">
        <f t="shared" si="1"/>
        <v>118979.84000000001</v>
      </c>
      <c r="H36" s="107">
        <f t="shared" si="2"/>
        <v>116855.20000000001</v>
      </c>
      <c r="I36" s="107">
        <f t="shared" si="3"/>
        <v>114730.56000000001</v>
      </c>
      <c r="J36" s="56">
        <v>52</v>
      </c>
    </row>
    <row r="37" spans="1:10">
      <c r="A37" s="50" t="s">
        <v>1046</v>
      </c>
      <c r="B37" s="50" t="s">
        <v>1052</v>
      </c>
      <c r="C37" s="12" t="s">
        <v>1012</v>
      </c>
      <c r="D37" s="56">
        <v>16</v>
      </c>
      <c r="E37" s="107">
        <v>83500</v>
      </c>
      <c r="F37" s="107">
        <f t="shared" si="0"/>
        <v>100200</v>
      </c>
      <c r="G37" s="107">
        <f t="shared" si="1"/>
        <v>93520.000000000015</v>
      </c>
      <c r="H37" s="107">
        <f t="shared" si="2"/>
        <v>91850.000000000015</v>
      </c>
      <c r="I37" s="107">
        <f t="shared" si="3"/>
        <v>90180</v>
      </c>
      <c r="J37" s="56">
        <v>56</v>
      </c>
    </row>
    <row r="38" spans="1:10">
      <c r="A38" s="50" t="s">
        <v>1053</v>
      </c>
      <c r="B38" s="50" t="s">
        <v>1054</v>
      </c>
      <c r="C38" s="12" t="s">
        <v>1055</v>
      </c>
      <c r="D38" s="56">
        <v>32</v>
      </c>
      <c r="E38" s="107">
        <v>325000</v>
      </c>
      <c r="F38" s="107">
        <f t="shared" si="0"/>
        <v>390000</v>
      </c>
      <c r="G38" s="107">
        <f t="shared" si="1"/>
        <v>364000.00000000006</v>
      </c>
      <c r="H38" s="107">
        <f t="shared" si="2"/>
        <v>357500</v>
      </c>
      <c r="I38" s="107">
        <f t="shared" si="3"/>
        <v>351000</v>
      </c>
      <c r="J38" s="56">
        <v>60</v>
      </c>
    </row>
    <row r="39" spans="1:10">
      <c r="A39" s="50" t="s">
        <v>1056</v>
      </c>
      <c r="B39" s="50" t="s">
        <v>1057</v>
      </c>
      <c r="C39" s="12" t="s">
        <v>1010</v>
      </c>
      <c r="D39" s="56">
        <v>16</v>
      </c>
      <c r="E39" s="107">
        <v>38900</v>
      </c>
      <c r="F39" s="107">
        <f t="shared" si="0"/>
        <v>46680</v>
      </c>
      <c r="G39" s="107">
        <f t="shared" si="1"/>
        <v>43568.000000000007</v>
      </c>
      <c r="H39" s="107">
        <f t="shared" si="2"/>
        <v>42790</v>
      </c>
      <c r="I39" s="107">
        <f t="shared" si="3"/>
        <v>42012</v>
      </c>
      <c r="J39" s="56">
        <v>64</v>
      </c>
    </row>
    <row r="40" spans="1:10">
      <c r="A40" s="50" t="s">
        <v>1058</v>
      </c>
      <c r="B40" s="50" t="s">
        <v>1059</v>
      </c>
      <c r="C40" s="12" t="s">
        <v>992</v>
      </c>
      <c r="D40" s="56">
        <v>16</v>
      </c>
      <c r="E40" s="107">
        <v>157000</v>
      </c>
      <c r="F40" s="107">
        <f t="shared" si="0"/>
        <v>188400</v>
      </c>
      <c r="G40" s="107">
        <f t="shared" si="1"/>
        <v>175840.00000000003</v>
      </c>
      <c r="H40" s="107">
        <f t="shared" si="2"/>
        <v>172700</v>
      </c>
      <c r="I40" s="107">
        <f t="shared" si="3"/>
        <v>169560</v>
      </c>
      <c r="J40" s="56">
        <v>68</v>
      </c>
    </row>
    <row r="41" spans="1:10">
      <c r="A41" s="50" t="s">
        <v>1060</v>
      </c>
      <c r="B41" s="50" t="s">
        <v>1061</v>
      </c>
      <c r="C41" s="12" t="s">
        <v>1012</v>
      </c>
      <c r="D41" s="56">
        <v>16</v>
      </c>
      <c r="E41" s="107">
        <v>62800</v>
      </c>
      <c r="F41" s="107">
        <f t="shared" si="0"/>
        <v>75360</v>
      </c>
      <c r="G41" s="107">
        <f t="shared" si="1"/>
        <v>70336</v>
      </c>
      <c r="H41" s="107">
        <f t="shared" si="2"/>
        <v>69080</v>
      </c>
      <c r="I41" s="107">
        <f t="shared" si="3"/>
        <v>67824</v>
      </c>
      <c r="J41" s="56">
        <v>72</v>
      </c>
    </row>
    <row r="42" spans="1:10">
      <c r="A42" s="50" t="s">
        <v>1060</v>
      </c>
      <c r="B42" s="50" t="s">
        <v>1062</v>
      </c>
      <c r="C42" s="12" t="s">
        <v>1030</v>
      </c>
      <c r="D42" s="56">
        <v>12</v>
      </c>
      <c r="E42" s="107">
        <v>44900</v>
      </c>
      <c r="F42" s="107">
        <f t="shared" si="0"/>
        <v>53880</v>
      </c>
      <c r="G42" s="107">
        <f t="shared" si="1"/>
        <v>50288.000000000007</v>
      </c>
      <c r="H42" s="107">
        <f t="shared" si="2"/>
        <v>49390.000000000007</v>
      </c>
      <c r="I42" s="107">
        <f t="shared" si="3"/>
        <v>48492</v>
      </c>
      <c r="J42" s="56">
        <v>76</v>
      </c>
    </row>
  </sheetData>
  <mergeCells count="15">
    <mergeCell ref="G1:G2"/>
    <mergeCell ref="A1:A2"/>
    <mergeCell ref="B1:B2"/>
    <mergeCell ref="C1:D1"/>
    <mergeCell ref="E1:E2"/>
    <mergeCell ref="F1:F2"/>
    <mergeCell ref="L19:M19"/>
    <mergeCell ref="L20:M20"/>
    <mergeCell ref="L21:M21"/>
    <mergeCell ref="H1:H2"/>
    <mergeCell ref="I1:I2"/>
    <mergeCell ref="J1:J2"/>
    <mergeCell ref="L15:M15"/>
    <mergeCell ref="L16:M16"/>
    <mergeCell ref="L17:M17"/>
  </mergeCell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Plan25"/>
  <dimension ref="A1:F13"/>
  <sheetViews>
    <sheetView workbookViewId="0">
      <selection activeCell="A2" sqref="A2"/>
    </sheetView>
  </sheetViews>
  <sheetFormatPr defaultRowHeight="15"/>
  <cols>
    <col min="1" max="1" width="14" style="53" bestFit="1" customWidth="1"/>
    <col min="3" max="3" width="7.7109375" style="53" bestFit="1" customWidth="1"/>
    <col min="4" max="4" width="15.5703125" customWidth="1"/>
    <col min="6" max="6" width="10.7109375" style="53" customWidth="1"/>
  </cols>
  <sheetData>
    <row r="1" spans="1:6">
      <c r="A1" s="109" t="s">
        <v>1144</v>
      </c>
      <c r="C1" s="110" t="s">
        <v>1063</v>
      </c>
      <c r="D1" s="50"/>
      <c r="F1" s="109" t="s">
        <v>764</v>
      </c>
    </row>
    <row r="2" spans="1:6">
      <c r="A2" s="85" t="s">
        <v>1064</v>
      </c>
      <c r="C2" s="111" t="s">
        <v>1065</v>
      </c>
      <c r="D2" s="56"/>
      <c r="F2" s="50" t="s">
        <v>784</v>
      </c>
    </row>
    <row r="3" spans="1:6">
      <c r="A3" s="85" t="s">
        <v>1066</v>
      </c>
      <c r="F3" s="50" t="s">
        <v>785</v>
      </c>
    </row>
    <row r="4" spans="1:6">
      <c r="A4" s="85" t="s">
        <v>1067</v>
      </c>
      <c r="C4" s="110" t="s">
        <v>764</v>
      </c>
      <c r="D4" s="50"/>
      <c r="F4" s="50" t="s">
        <v>781</v>
      </c>
    </row>
    <row r="5" spans="1:6">
      <c r="A5" s="85" t="s">
        <v>1068</v>
      </c>
      <c r="C5" s="111" t="s">
        <v>1065</v>
      </c>
      <c r="D5" s="56"/>
      <c r="F5" s="50" t="s">
        <v>786</v>
      </c>
    </row>
    <row r="6" spans="1:6">
      <c r="A6" s="85" t="s">
        <v>1069</v>
      </c>
      <c r="F6" s="50" t="s">
        <v>771</v>
      </c>
    </row>
    <row r="7" spans="1:6">
      <c r="A7" s="85" t="s">
        <v>1070</v>
      </c>
      <c r="F7" s="50" t="s">
        <v>779</v>
      </c>
    </row>
    <row r="8" spans="1:6">
      <c r="A8" s="85" t="s">
        <v>1071</v>
      </c>
      <c r="F8" s="50" t="s">
        <v>792</v>
      </c>
    </row>
    <row r="9" spans="1:6">
      <c r="F9" s="50" t="s">
        <v>788</v>
      </c>
    </row>
    <row r="10" spans="1:6">
      <c r="F10" s="50" t="s">
        <v>789</v>
      </c>
    </row>
    <row r="11" spans="1:6">
      <c r="F11" s="50" t="s">
        <v>790</v>
      </c>
    </row>
    <row r="12" spans="1:6">
      <c r="F12" s="50" t="s">
        <v>791</v>
      </c>
    </row>
    <row r="13" spans="1:6">
      <c r="F13" s="50" t="s">
        <v>787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Plan26"/>
  <dimension ref="A1:M41"/>
  <sheetViews>
    <sheetView topLeftCell="C25" workbookViewId="0">
      <selection activeCell="M37" sqref="M37"/>
    </sheetView>
  </sheetViews>
  <sheetFormatPr defaultRowHeight="15"/>
  <cols>
    <col min="1" max="1" width="10.28515625" style="53" bestFit="1" customWidth="1"/>
    <col min="2" max="2" width="28.7109375" style="53" bestFit="1" customWidth="1"/>
    <col min="3" max="3" width="3.5703125" bestFit="1" customWidth="1"/>
    <col min="4" max="4" width="8.42578125" bestFit="1" customWidth="1"/>
    <col min="5" max="9" width="14.28515625" style="55" bestFit="1" customWidth="1"/>
    <col min="10" max="10" width="8.140625" style="55" bestFit="1" customWidth="1"/>
    <col min="12" max="12" width="15" bestFit="1" customWidth="1"/>
    <col min="13" max="13" width="14.28515625" bestFit="1" customWidth="1"/>
  </cols>
  <sheetData>
    <row r="1" spans="1:13">
      <c r="A1" s="112" t="s">
        <v>980</v>
      </c>
      <c r="B1" s="112" t="s">
        <v>981</v>
      </c>
      <c r="C1" s="23" t="s">
        <v>988</v>
      </c>
      <c r="D1" s="23" t="s">
        <v>989</v>
      </c>
      <c r="E1" s="24" t="s">
        <v>818</v>
      </c>
      <c r="F1" s="24" t="s">
        <v>983</v>
      </c>
      <c r="G1" s="24" t="s">
        <v>984</v>
      </c>
      <c r="H1" s="24" t="s">
        <v>985</v>
      </c>
      <c r="I1" s="24" t="s">
        <v>986</v>
      </c>
      <c r="J1" s="24" t="s">
        <v>987</v>
      </c>
      <c r="L1" s="1"/>
      <c r="M1" s="1"/>
    </row>
    <row r="2" spans="1:13">
      <c r="A2" s="50" t="s">
        <v>990</v>
      </c>
      <c r="B2" s="50" t="s">
        <v>991</v>
      </c>
      <c r="C2" s="12" t="s">
        <v>996</v>
      </c>
      <c r="D2" s="12">
        <v>10</v>
      </c>
      <c r="E2" s="107">
        <v>231900</v>
      </c>
      <c r="F2" s="107">
        <f>E2*(1+0.2)</f>
        <v>278280</v>
      </c>
      <c r="G2" s="107">
        <f>E2*(1+0.12)</f>
        <v>259728.00000000003</v>
      </c>
      <c r="H2" s="107">
        <f>E2*(1+0.1)</f>
        <v>255090.00000000003</v>
      </c>
      <c r="I2" s="107">
        <f>E2*(1+0.08)</f>
        <v>250452.00000000003</v>
      </c>
      <c r="J2" s="56">
        <v>164</v>
      </c>
      <c r="L2" s="288" t="s">
        <v>1072</v>
      </c>
      <c r="M2" s="288"/>
    </row>
    <row r="3" spans="1:13">
      <c r="A3" s="50" t="s">
        <v>990</v>
      </c>
      <c r="B3" s="50" t="s">
        <v>995</v>
      </c>
      <c r="C3" s="12" t="s">
        <v>999</v>
      </c>
      <c r="D3" s="12">
        <v>8</v>
      </c>
      <c r="E3" s="107">
        <v>777000</v>
      </c>
      <c r="F3" s="107">
        <f t="shared" ref="F3:F41" si="0">E3*(1+0.2)</f>
        <v>932400</v>
      </c>
      <c r="G3" s="107">
        <f t="shared" ref="G3:G41" si="1">E3*(1+0.12)</f>
        <v>870240.00000000012</v>
      </c>
      <c r="H3" s="107">
        <f t="shared" ref="H3:H41" si="2">E3*(1+0.1)</f>
        <v>854700.00000000012</v>
      </c>
      <c r="I3" s="107">
        <f t="shared" ref="I3:I41" si="3">E3*(1+0.08)</f>
        <v>839160</v>
      </c>
      <c r="J3" s="56">
        <v>168</v>
      </c>
      <c r="L3" s="285" t="s">
        <v>1073</v>
      </c>
      <c r="M3" s="285"/>
    </row>
    <row r="4" spans="1:13">
      <c r="A4" s="50" t="s">
        <v>997</v>
      </c>
      <c r="B4" s="50" t="s">
        <v>998</v>
      </c>
      <c r="C4" s="12" t="s">
        <v>1001</v>
      </c>
      <c r="D4" s="12">
        <v>8</v>
      </c>
      <c r="E4" s="107">
        <v>318000</v>
      </c>
      <c r="F4" s="107">
        <f t="shared" si="0"/>
        <v>381600</v>
      </c>
      <c r="G4" s="107">
        <f t="shared" si="1"/>
        <v>356160.00000000006</v>
      </c>
      <c r="H4" s="107">
        <f t="shared" si="2"/>
        <v>349800</v>
      </c>
      <c r="I4" s="107">
        <f t="shared" si="3"/>
        <v>343440</v>
      </c>
      <c r="J4" s="56">
        <v>20</v>
      </c>
      <c r="L4" s="25" t="s">
        <v>980</v>
      </c>
      <c r="M4" s="25" t="s">
        <v>989</v>
      </c>
    </row>
    <row r="5" spans="1:13">
      <c r="A5" s="50" t="s">
        <v>997</v>
      </c>
      <c r="B5" s="50" t="s">
        <v>1000</v>
      </c>
      <c r="C5" s="12" t="s">
        <v>992</v>
      </c>
      <c r="D5" s="12">
        <v>8</v>
      </c>
      <c r="E5" s="107">
        <v>448000</v>
      </c>
      <c r="F5" s="107">
        <f t="shared" si="0"/>
        <v>537600</v>
      </c>
      <c r="G5" s="107">
        <f t="shared" si="1"/>
        <v>501760.00000000006</v>
      </c>
      <c r="H5" s="107">
        <f t="shared" si="2"/>
        <v>492800.00000000006</v>
      </c>
      <c r="I5" s="107">
        <f t="shared" si="3"/>
        <v>483840.00000000006</v>
      </c>
      <c r="J5" s="56">
        <v>132</v>
      </c>
      <c r="L5" s="212" t="s">
        <v>1016</v>
      </c>
      <c r="M5" s="12">
        <v>8</v>
      </c>
    </row>
    <row r="6" spans="1:13">
      <c r="A6" s="50" t="s">
        <v>1002</v>
      </c>
      <c r="B6" s="50" t="s">
        <v>1003</v>
      </c>
      <c r="C6" s="12" t="s">
        <v>1007</v>
      </c>
      <c r="D6" s="12">
        <v>8</v>
      </c>
      <c r="E6" s="107">
        <v>122500</v>
      </c>
      <c r="F6" s="107">
        <f t="shared" si="0"/>
        <v>147000</v>
      </c>
      <c r="G6" s="107">
        <f t="shared" si="1"/>
        <v>137200</v>
      </c>
      <c r="H6" s="107">
        <f t="shared" si="2"/>
        <v>134750</v>
      </c>
      <c r="I6" s="107">
        <f t="shared" si="3"/>
        <v>132300</v>
      </c>
      <c r="J6" s="56">
        <v>136</v>
      </c>
      <c r="L6" s="1"/>
      <c r="M6" s="1"/>
    </row>
    <row r="7" spans="1:13">
      <c r="A7" s="50" t="s">
        <v>1005</v>
      </c>
      <c r="B7" s="50" t="s">
        <v>1006</v>
      </c>
      <c r="C7" s="12" t="s">
        <v>1010</v>
      </c>
      <c r="D7" s="12">
        <v>8</v>
      </c>
      <c r="E7" s="107">
        <v>166000</v>
      </c>
      <c r="F7" s="107">
        <f t="shared" si="0"/>
        <v>199200</v>
      </c>
      <c r="G7" s="107">
        <f t="shared" si="1"/>
        <v>185920.00000000003</v>
      </c>
      <c r="H7" s="107">
        <f t="shared" si="2"/>
        <v>182600.00000000003</v>
      </c>
      <c r="I7" s="107">
        <f t="shared" si="3"/>
        <v>179280</v>
      </c>
      <c r="J7" s="56">
        <v>140</v>
      </c>
      <c r="L7" s="25" t="s">
        <v>987</v>
      </c>
      <c r="M7" s="12">
        <f>DAVERAGE(A1:J41,10,L4:M5)</f>
        <v>73.5</v>
      </c>
    </row>
    <row r="8" spans="1:13">
      <c r="A8" s="50" t="s">
        <v>1008</v>
      </c>
      <c r="B8" s="50" t="s">
        <v>1009</v>
      </c>
      <c r="C8" s="12" t="s">
        <v>1012</v>
      </c>
      <c r="D8" s="12">
        <v>16</v>
      </c>
      <c r="E8" s="107">
        <v>42500</v>
      </c>
      <c r="F8" s="107">
        <f t="shared" si="0"/>
        <v>51000</v>
      </c>
      <c r="G8" s="107">
        <f t="shared" si="1"/>
        <v>47600.000000000007</v>
      </c>
      <c r="H8" s="107">
        <f t="shared" si="2"/>
        <v>46750.000000000007</v>
      </c>
      <c r="I8" s="107">
        <f t="shared" si="3"/>
        <v>45900</v>
      </c>
      <c r="J8" s="56">
        <v>144</v>
      </c>
      <c r="L8" s="1"/>
      <c r="M8" s="1"/>
    </row>
    <row r="9" spans="1:13">
      <c r="A9" s="50" t="s">
        <v>1008</v>
      </c>
      <c r="B9" s="50" t="s">
        <v>1011</v>
      </c>
      <c r="C9" s="12" t="s">
        <v>992</v>
      </c>
      <c r="D9" s="12">
        <v>16</v>
      </c>
      <c r="E9" s="107">
        <v>48000</v>
      </c>
      <c r="F9" s="107">
        <f t="shared" si="0"/>
        <v>57600</v>
      </c>
      <c r="G9" s="107">
        <f t="shared" si="1"/>
        <v>53760.000000000007</v>
      </c>
      <c r="H9" s="107">
        <f t="shared" si="2"/>
        <v>52800.000000000007</v>
      </c>
      <c r="I9" s="107">
        <f t="shared" si="3"/>
        <v>51840</v>
      </c>
      <c r="J9" s="56">
        <v>148</v>
      </c>
      <c r="L9" s="1"/>
      <c r="M9" s="1"/>
    </row>
    <row r="10" spans="1:13">
      <c r="A10" s="50" t="s">
        <v>1008</v>
      </c>
      <c r="B10" s="50" t="s">
        <v>1013</v>
      </c>
      <c r="C10" s="12" t="s">
        <v>992</v>
      </c>
      <c r="D10" s="12">
        <v>16</v>
      </c>
      <c r="E10" s="107">
        <v>66500</v>
      </c>
      <c r="F10" s="107">
        <f t="shared" si="0"/>
        <v>79800</v>
      </c>
      <c r="G10" s="107">
        <f t="shared" si="1"/>
        <v>74480</v>
      </c>
      <c r="H10" s="107">
        <f t="shared" si="2"/>
        <v>73150</v>
      </c>
      <c r="I10" s="107">
        <f t="shared" si="3"/>
        <v>71820</v>
      </c>
      <c r="J10" s="56">
        <v>152</v>
      </c>
      <c r="L10" s="288" t="s">
        <v>1074</v>
      </c>
      <c r="M10" s="288"/>
    </row>
    <row r="11" spans="1:13">
      <c r="A11" s="50" t="s">
        <v>1008</v>
      </c>
      <c r="B11" s="50" t="s">
        <v>1014</v>
      </c>
      <c r="C11" s="12" t="s">
        <v>1012</v>
      </c>
      <c r="D11" s="12">
        <v>16</v>
      </c>
      <c r="E11" s="107">
        <v>109900</v>
      </c>
      <c r="F11" s="107">
        <f t="shared" si="0"/>
        <v>131880</v>
      </c>
      <c r="G11" s="107">
        <f t="shared" si="1"/>
        <v>123088.00000000001</v>
      </c>
      <c r="H11" s="107">
        <f t="shared" si="2"/>
        <v>120890.00000000001</v>
      </c>
      <c r="I11" s="107">
        <f t="shared" si="3"/>
        <v>118692.00000000001</v>
      </c>
      <c r="J11" s="56">
        <v>156</v>
      </c>
      <c r="L11" s="285" t="s">
        <v>1073</v>
      </c>
      <c r="M11" s="285"/>
    </row>
    <row r="12" spans="1:13">
      <c r="A12" s="50" t="s">
        <v>1008</v>
      </c>
      <c r="B12" s="50" t="s">
        <v>1015</v>
      </c>
      <c r="C12" s="12" t="s">
        <v>1010</v>
      </c>
      <c r="D12" s="12">
        <v>16</v>
      </c>
      <c r="E12" s="107">
        <v>54075</v>
      </c>
      <c r="F12" s="107">
        <f t="shared" si="0"/>
        <v>64890</v>
      </c>
      <c r="G12" s="107">
        <f t="shared" si="1"/>
        <v>60564.000000000007</v>
      </c>
      <c r="H12" s="107">
        <f t="shared" si="2"/>
        <v>59482.500000000007</v>
      </c>
      <c r="I12" s="107">
        <f t="shared" si="3"/>
        <v>58401.000000000007</v>
      </c>
      <c r="J12" s="56">
        <v>160</v>
      </c>
      <c r="L12" s="25" t="s">
        <v>980</v>
      </c>
      <c r="M12" s="25" t="s">
        <v>981</v>
      </c>
    </row>
    <row r="13" spans="1:13">
      <c r="A13" s="50" t="s">
        <v>1016</v>
      </c>
      <c r="B13" s="50" t="s">
        <v>1017</v>
      </c>
      <c r="C13" s="12" t="s">
        <v>1010</v>
      </c>
      <c r="D13" s="12">
        <v>8</v>
      </c>
      <c r="E13" s="107">
        <v>62100</v>
      </c>
      <c r="F13" s="107">
        <f t="shared" si="0"/>
        <v>74520</v>
      </c>
      <c r="G13" s="107">
        <f t="shared" si="1"/>
        <v>69552</v>
      </c>
      <c r="H13" s="107">
        <f t="shared" si="2"/>
        <v>68310</v>
      </c>
      <c r="I13" s="107">
        <f t="shared" si="3"/>
        <v>67068</v>
      </c>
      <c r="J13" s="56">
        <v>104</v>
      </c>
      <c r="L13" s="212" t="s">
        <v>1016</v>
      </c>
      <c r="M13" s="212" t="s">
        <v>1747</v>
      </c>
    </row>
    <row r="14" spans="1:13">
      <c r="A14" s="50" t="s">
        <v>1016</v>
      </c>
      <c r="B14" s="50" t="s">
        <v>1018</v>
      </c>
      <c r="C14" s="12" t="s">
        <v>1021</v>
      </c>
      <c r="D14" s="12">
        <v>16</v>
      </c>
      <c r="E14" s="107">
        <v>41000</v>
      </c>
      <c r="F14" s="107">
        <f t="shared" si="0"/>
        <v>49200</v>
      </c>
      <c r="G14" s="107">
        <f t="shared" si="1"/>
        <v>45920.000000000007</v>
      </c>
      <c r="H14" s="107">
        <f t="shared" si="2"/>
        <v>45100.000000000007</v>
      </c>
      <c r="I14" s="107">
        <f t="shared" si="3"/>
        <v>44280</v>
      </c>
      <c r="J14" s="56">
        <v>108</v>
      </c>
      <c r="L14" s="1"/>
      <c r="M14" s="1"/>
    </row>
    <row r="15" spans="1:13">
      <c r="A15" s="50" t="s">
        <v>1016</v>
      </c>
      <c r="B15" s="50" t="s">
        <v>1020</v>
      </c>
      <c r="C15" s="12" t="s">
        <v>1010</v>
      </c>
      <c r="D15" s="12">
        <v>8</v>
      </c>
      <c r="E15" s="107">
        <v>50000</v>
      </c>
      <c r="F15" s="107">
        <f t="shared" si="0"/>
        <v>60000</v>
      </c>
      <c r="G15" s="107">
        <f t="shared" si="1"/>
        <v>56000.000000000007</v>
      </c>
      <c r="H15" s="107">
        <f t="shared" si="2"/>
        <v>55000.000000000007</v>
      </c>
      <c r="I15" s="107">
        <f t="shared" si="3"/>
        <v>54000</v>
      </c>
      <c r="J15" s="56">
        <v>112</v>
      </c>
      <c r="L15" s="25" t="s">
        <v>1075</v>
      </c>
      <c r="M15" s="12">
        <f>DCOUNT(A1:J41,"Estoque",L12:M13)</f>
        <v>3</v>
      </c>
    </row>
    <row r="16" spans="1:13">
      <c r="A16" s="50" t="s">
        <v>1016</v>
      </c>
      <c r="B16" s="50" t="s">
        <v>1023</v>
      </c>
      <c r="C16" s="12" t="s">
        <v>1012</v>
      </c>
      <c r="D16" s="12">
        <v>16</v>
      </c>
      <c r="E16" s="107">
        <v>35956</v>
      </c>
      <c r="F16" s="107">
        <f t="shared" si="0"/>
        <v>43147.199999999997</v>
      </c>
      <c r="G16" s="107">
        <f t="shared" si="1"/>
        <v>40270.720000000001</v>
      </c>
      <c r="H16" s="107">
        <f t="shared" si="2"/>
        <v>39551.600000000006</v>
      </c>
      <c r="I16" s="107">
        <f t="shared" si="3"/>
        <v>38832.480000000003</v>
      </c>
      <c r="J16" s="56">
        <v>116</v>
      </c>
    </row>
    <row r="17" spans="1:13">
      <c r="A17" s="50" t="s">
        <v>1016</v>
      </c>
      <c r="B17" s="50" t="s">
        <v>1024</v>
      </c>
      <c r="C17" s="12" t="s">
        <v>1012</v>
      </c>
      <c r="D17" s="12">
        <v>16</v>
      </c>
      <c r="E17" s="107">
        <v>42636</v>
      </c>
      <c r="F17" s="107">
        <f t="shared" si="0"/>
        <v>51163.199999999997</v>
      </c>
      <c r="G17" s="107">
        <f t="shared" si="1"/>
        <v>47752.320000000007</v>
      </c>
      <c r="H17" s="107">
        <f t="shared" si="2"/>
        <v>46899.600000000006</v>
      </c>
      <c r="I17" s="107">
        <f t="shared" si="3"/>
        <v>46046.880000000005</v>
      </c>
      <c r="J17" s="56">
        <v>120</v>
      </c>
      <c r="L17" s="288" t="s">
        <v>1076</v>
      </c>
      <c r="M17" s="288"/>
    </row>
    <row r="18" spans="1:13">
      <c r="A18" s="50" t="s">
        <v>1016</v>
      </c>
      <c r="B18" s="50" t="s">
        <v>1025</v>
      </c>
      <c r="C18" s="12" t="s">
        <v>1012</v>
      </c>
      <c r="D18" s="12">
        <v>16</v>
      </c>
      <c r="E18" s="107">
        <v>51600</v>
      </c>
      <c r="F18" s="107">
        <f t="shared" si="0"/>
        <v>61920</v>
      </c>
      <c r="G18" s="107">
        <f t="shared" si="1"/>
        <v>57792.000000000007</v>
      </c>
      <c r="H18" s="107">
        <f t="shared" si="2"/>
        <v>56760.000000000007</v>
      </c>
      <c r="I18" s="107">
        <f t="shared" si="3"/>
        <v>55728.000000000007</v>
      </c>
      <c r="J18" s="56">
        <v>124</v>
      </c>
      <c r="L18" s="285" t="s">
        <v>1073</v>
      </c>
      <c r="M18" s="285"/>
    </row>
    <row r="19" spans="1:13">
      <c r="A19" s="50" t="s">
        <v>1016</v>
      </c>
      <c r="B19" s="50" t="s">
        <v>1027</v>
      </c>
      <c r="C19" s="12" t="s">
        <v>1030</v>
      </c>
      <c r="D19" s="12">
        <v>8</v>
      </c>
      <c r="E19" s="107">
        <v>52632</v>
      </c>
      <c r="F19" s="107">
        <f t="shared" si="0"/>
        <v>63158.399999999994</v>
      </c>
      <c r="G19" s="107">
        <f t="shared" si="1"/>
        <v>58947.840000000004</v>
      </c>
      <c r="H19" s="107">
        <f t="shared" si="2"/>
        <v>57895.200000000004</v>
      </c>
      <c r="I19" s="107">
        <f t="shared" si="3"/>
        <v>56842.560000000005</v>
      </c>
      <c r="J19" s="56">
        <v>80</v>
      </c>
      <c r="L19" s="25" t="s">
        <v>980</v>
      </c>
      <c r="M19" s="25" t="s">
        <v>981</v>
      </c>
    </row>
    <row r="20" spans="1:13">
      <c r="A20" s="50" t="s">
        <v>1016</v>
      </c>
      <c r="B20" s="50" t="s">
        <v>1029</v>
      </c>
      <c r="C20" s="12" t="s">
        <v>1010</v>
      </c>
      <c r="D20" s="12">
        <v>8</v>
      </c>
      <c r="E20" s="107">
        <v>28840</v>
      </c>
      <c r="F20" s="107">
        <f t="shared" si="0"/>
        <v>34608</v>
      </c>
      <c r="G20" s="107">
        <f t="shared" si="1"/>
        <v>32300.800000000003</v>
      </c>
      <c r="H20" s="107">
        <f t="shared" si="2"/>
        <v>31724.000000000004</v>
      </c>
      <c r="I20" s="107">
        <f t="shared" si="3"/>
        <v>31147.200000000001</v>
      </c>
      <c r="J20" s="56">
        <v>84</v>
      </c>
      <c r="L20" s="212" t="s">
        <v>1016</v>
      </c>
      <c r="M20" s="212" t="s">
        <v>1747</v>
      </c>
    </row>
    <row r="21" spans="1:13">
      <c r="A21" s="50" t="s">
        <v>1016</v>
      </c>
      <c r="B21" s="50" t="s">
        <v>1031</v>
      </c>
      <c r="C21" s="12" t="s">
        <v>1030</v>
      </c>
      <c r="D21" s="12">
        <v>8</v>
      </c>
      <c r="E21" s="107">
        <v>38781</v>
      </c>
      <c r="F21" s="107">
        <f t="shared" si="0"/>
        <v>46537.2</v>
      </c>
      <c r="G21" s="107">
        <f t="shared" si="1"/>
        <v>43434.720000000001</v>
      </c>
      <c r="H21" s="107">
        <f t="shared" si="2"/>
        <v>42659.100000000006</v>
      </c>
      <c r="I21" s="107">
        <f t="shared" si="3"/>
        <v>41883.480000000003</v>
      </c>
      <c r="J21" s="56">
        <v>88</v>
      </c>
      <c r="L21" s="1"/>
      <c r="M21" s="1"/>
    </row>
    <row r="22" spans="1:13">
      <c r="A22" s="50" t="s">
        <v>1016</v>
      </c>
      <c r="B22" s="50" t="s">
        <v>1032</v>
      </c>
      <c r="C22" s="12" t="s">
        <v>1030</v>
      </c>
      <c r="D22" s="12">
        <v>8</v>
      </c>
      <c r="E22" s="107">
        <v>37975</v>
      </c>
      <c r="F22" s="107">
        <f t="shared" si="0"/>
        <v>45570</v>
      </c>
      <c r="G22" s="107">
        <f t="shared" si="1"/>
        <v>42532.000000000007</v>
      </c>
      <c r="H22" s="107">
        <f t="shared" si="2"/>
        <v>41772.5</v>
      </c>
      <c r="I22" s="107">
        <f t="shared" si="3"/>
        <v>41013</v>
      </c>
      <c r="J22" s="56">
        <v>92</v>
      </c>
      <c r="L22" s="25" t="s">
        <v>987</v>
      </c>
      <c r="M22" s="12">
        <f>DMIN(A1:J41,10,L19:M20)</f>
        <v>80</v>
      </c>
    </row>
    <row r="23" spans="1:13">
      <c r="A23" s="50" t="s">
        <v>1016</v>
      </c>
      <c r="B23" s="50" t="s">
        <v>1034</v>
      </c>
      <c r="C23" s="12" t="s">
        <v>1030</v>
      </c>
      <c r="D23" s="12">
        <v>8</v>
      </c>
      <c r="E23" s="107">
        <v>36903</v>
      </c>
      <c r="F23" s="107">
        <f t="shared" si="0"/>
        <v>44283.6</v>
      </c>
      <c r="G23" s="107">
        <f t="shared" si="1"/>
        <v>41331.360000000001</v>
      </c>
      <c r="H23" s="107">
        <f t="shared" si="2"/>
        <v>40593.300000000003</v>
      </c>
      <c r="I23" s="107">
        <f t="shared" si="3"/>
        <v>39855.240000000005</v>
      </c>
      <c r="J23" s="56">
        <v>12</v>
      </c>
    </row>
    <row r="24" spans="1:13">
      <c r="A24" s="50" t="s">
        <v>1016</v>
      </c>
      <c r="B24" s="50" t="s">
        <v>1035</v>
      </c>
      <c r="C24" s="12" t="s">
        <v>1012</v>
      </c>
      <c r="D24" s="12">
        <v>8</v>
      </c>
      <c r="E24" s="107">
        <v>38178</v>
      </c>
      <c r="F24" s="107">
        <f t="shared" si="0"/>
        <v>45813.599999999999</v>
      </c>
      <c r="G24" s="107">
        <f t="shared" si="1"/>
        <v>42759.360000000001</v>
      </c>
      <c r="H24" s="107">
        <f t="shared" si="2"/>
        <v>41995.8</v>
      </c>
      <c r="I24" s="107">
        <f t="shared" si="3"/>
        <v>41232.240000000005</v>
      </c>
      <c r="J24" s="56">
        <v>16</v>
      </c>
      <c r="L24" s="288" t="s">
        <v>1077</v>
      </c>
      <c r="M24" s="288"/>
    </row>
    <row r="25" spans="1:13">
      <c r="A25" s="50" t="s">
        <v>1036</v>
      </c>
      <c r="B25" s="50" t="s">
        <v>1037</v>
      </c>
      <c r="C25" s="12" t="s">
        <v>1012</v>
      </c>
      <c r="D25" s="12">
        <v>8</v>
      </c>
      <c r="E25" s="107">
        <v>31000</v>
      </c>
      <c r="F25" s="107">
        <f t="shared" si="0"/>
        <v>37200</v>
      </c>
      <c r="G25" s="107">
        <f t="shared" si="1"/>
        <v>34720</v>
      </c>
      <c r="H25" s="107">
        <f t="shared" si="2"/>
        <v>34100</v>
      </c>
      <c r="I25" s="107">
        <f t="shared" si="3"/>
        <v>33480</v>
      </c>
      <c r="J25" s="56">
        <v>128</v>
      </c>
      <c r="L25" s="285" t="s">
        <v>1073</v>
      </c>
      <c r="M25" s="285"/>
    </row>
    <row r="26" spans="1:13">
      <c r="A26" s="50" t="s">
        <v>1036</v>
      </c>
      <c r="B26" s="50" t="s">
        <v>1038</v>
      </c>
      <c r="C26" s="12" t="s">
        <v>992</v>
      </c>
      <c r="D26" s="12">
        <v>16</v>
      </c>
      <c r="E26" s="107">
        <v>51800</v>
      </c>
      <c r="F26" s="107">
        <f t="shared" si="0"/>
        <v>62160</v>
      </c>
      <c r="G26" s="107">
        <f t="shared" si="1"/>
        <v>58016.000000000007</v>
      </c>
      <c r="H26" s="107">
        <f t="shared" si="2"/>
        <v>56980.000000000007</v>
      </c>
      <c r="I26" s="107">
        <f t="shared" si="3"/>
        <v>55944.000000000007</v>
      </c>
      <c r="J26" s="56">
        <v>96</v>
      </c>
      <c r="L26" s="25" t="s">
        <v>980</v>
      </c>
      <c r="M26" s="25" t="s">
        <v>981</v>
      </c>
    </row>
    <row r="27" spans="1:13">
      <c r="A27" s="50" t="s">
        <v>1036</v>
      </c>
      <c r="B27" s="50" t="s">
        <v>1039</v>
      </c>
      <c r="C27" s="12" t="s">
        <v>1030</v>
      </c>
      <c r="D27" s="12">
        <v>8</v>
      </c>
      <c r="E27" s="107">
        <v>62000</v>
      </c>
      <c r="F27" s="107">
        <f t="shared" si="0"/>
        <v>74400</v>
      </c>
      <c r="G27" s="107">
        <f t="shared" si="1"/>
        <v>69440</v>
      </c>
      <c r="H27" s="107">
        <f t="shared" si="2"/>
        <v>68200</v>
      </c>
      <c r="I27" s="107">
        <f t="shared" si="3"/>
        <v>66960</v>
      </c>
      <c r="J27" s="56">
        <v>100</v>
      </c>
      <c r="L27" s="212" t="s">
        <v>1046</v>
      </c>
      <c r="M27" s="212" t="s">
        <v>1748</v>
      </c>
    </row>
    <row r="28" spans="1:13">
      <c r="A28" s="50" t="s">
        <v>1036</v>
      </c>
      <c r="B28" s="50" t="s">
        <v>1040</v>
      </c>
      <c r="C28" s="12" t="s">
        <v>999</v>
      </c>
      <c r="D28" s="12">
        <v>16</v>
      </c>
      <c r="E28" s="107">
        <v>24000</v>
      </c>
      <c r="F28" s="107">
        <f t="shared" si="0"/>
        <v>28800</v>
      </c>
      <c r="G28" s="107">
        <f t="shared" si="1"/>
        <v>26880.000000000004</v>
      </c>
      <c r="H28" s="107">
        <f t="shared" si="2"/>
        <v>26400.000000000004</v>
      </c>
      <c r="I28" s="107">
        <f t="shared" si="3"/>
        <v>25920</v>
      </c>
      <c r="J28" s="56">
        <v>24</v>
      </c>
      <c r="L28" s="1"/>
      <c r="M28" s="1"/>
    </row>
    <row r="29" spans="1:13">
      <c r="A29" s="50" t="s">
        <v>1036</v>
      </c>
      <c r="B29" s="50" t="s">
        <v>1041</v>
      </c>
      <c r="C29" s="12" t="s">
        <v>1044</v>
      </c>
      <c r="D29" s="12">
        <v>16</v>
      </c>
      <c r="E29" s="107">
        <v>83500</v>
      </c>
      <c r="F29" s="107">
        <f t="shared" si="0"/>
        <v>100200</v>
      </c>
      <c r="G29" s="107">
        <f t="shared" si="1"/>
        <v>93520.000000000015</v>
      </c>
      <c r="H29" s="107">
        <f t="shared" si="2"/>
        <v>91850.000000000015</v>
      </c>
      <c r="I29" s="107">
        <f t="shared" si="3"/>
        <v>90180</v>
      </c>
      <c r="J29" s="56">
        <v>28</v>
      </c>
      <c r="L29" s="25" t="s">
        <v>987</v>
      </c>
      <c r="M29" s="12">
        <f>DMAX(A1:J41,"Estoque",L26:M27)</f>
        <v>52</v>
      </c>
    </row>
    <row r="30" spans="1:13">
      <c r="A30" s="50" t="s">
        <v>1042</v>
      </c>
      <c r="B30" s="50" t="s">
        <v>1043</v>
      </c>
      <c r="C30" s="12" t="s">
        <v>1044</v>
      </c>
      <c r="D30" s="12">
        <v>16</v>
      </c>
      <c r="E30" s="107">
        <v>53620</v>
      </c>
      <c r="F30" s="107">
        <f t="shared" si="0"/>
        <v>64344</v>
      </c>
      <c r="G30" s="107">
        <f t="shared" si="1"/>
        <v>60054.400000000009</v>
      </c>
      <c r="H30" s="107">
        <f t="shared" si="2"/>
        <v>58982.000000000007</v>
      </c>
      <c r="I30" s="107">
        <f t="shared" si="3"/>
        <v>57909.600000000006</v>
      </c>
      <c r="J30" s="56">
        <v>32</v>
      </c>
    </row>
    <row r="31" spans="1:13">
      <c r="A31" s="50" t="s">
        <v>1042</v>
      </c>
      <c r="B31" s="50" t="s">
        <v>1045</v>
      </c>
      <c r="C31" s="12" t="s">
        <v>1021</v>
      </c>
      <c r="D31" s="12">
        <v>16</v>
      </c>
      <c r="E31" s="107">
        <v>114000</v>
      </c>
      <c r="F31" s="107">
        <f t="shared" si="0"/>
        <v>136800</v>
      </c>
      <c r="G31" s="107">
        <f t="shared" si="1"/>
        <v>127680.00000000001</v>
      </c>
      <c r="H31" s="107">
        <f t="shared" si="2"/>
        <v>125400.00000000001</v>
      </c>
      <c r="I31" s="107">
        <f t="shared" si="3"/>
        <v>123120.00000000001</v>
      </c>
      <c r="J31" s="56">
        <v>36</v>
      </c>
      <c r="L31" s="288" t="s">
        <v>1078</v>
      </c>
      <c r="M31" s="288"/>
    </row>
    <row r="32" spans="1:13">
      <c r="A32" s="50" t="s">
        <v>1046</v>
      </c>
      <c r="B32" s="50" t="s">
        <v>1047</v>
      </c>
      <c r="C32" s="12" t="s">
        <v>992</v>
      </c>
      <c r="D32" s="12">
        <v>16</v>
      </c>
      <c r="E32" s="107">
        <v>83500</v>
      </c>
      <c r="F32" s="107">
        <f t="shared" si="0"/>
        <v>100200</v>
      </c>
      <c r="G32" s="107">
        <f t="shared" si="1"/>
        <v>93520.000000000015</v>
      </c>
      <c r="H32" s="107">
        <f t="shared" si="2"/>
        <v>91850.000000000015</v>
      </c>
      <c r="I32" s="107">
        <f t="shared" si="3"/>
        <v>90180</v>
      </c>
      <c r="J32" s="56">
        <v>40</v>
      </c>
      <c r="L32" s="285" t="s">
        <v>1073</v>
      </c>
      <c r="M32" s="285"/>
    </row>
    <row r="33" spans="1:13">
      <c r="A33" s="50" t="s">
        <v>1046</v>
      </c>
      <c r="B33" s="50" t="s">
        <v>1048</v>
      </c>
      <c r="C33" s="12" t="s">
        <v>1050</v>
      </c>
      <c r="D33" s="12">
        <v>16</v>
      </c>
      <c r="E33" s="107">
        <v>153000</v>
      </c>
      <c r="F33" s="107">
        <f t="shared" si="0"/>
        <v>183600</v>
      </c>
      <c r="G33" s="107">
        <f t="shared" si="1"/>
        <v>171360.00000000003</v>
      </c>
      <c r="H33" s="107">
        <f t="shared" si="2"/>
        <v>168300</v>
      </c>
      <c r="I33" s="107">
        <f t="shared" si="3"/>
        <v>165240</v>
      </c>
      <c r="J33" s="56">
        <v>44</v>
      </c>
      <c r="L33" s="25" t="s">
        <v>980</v>
      </c>
      <c r="M33" s="25" t="s">
        <v>818</v>
      </c>
    </row>
    <row r="34" spans="1:13">
      <c r="A34" s="50" t="s">
        <v>1046</v>
      </c>
      <c r="B34" s="50" t="s">
        <v>1049</v>
      </c>
      <c r="C34" s="12" t="s">
        <v>1050</v>
      </c>
      <c r="D34" s="12">
        <v>16</v>
      </c>
      <c r="E34" s="107">
        <v>99000</v>
      </c>
      <c r="F34" s="107">
        <f t="shared" si="0"/>
        <v>118800</v>
      </c>
      <c r="G34" s="107">
        <f t="shared" si="1"/>
        <v>110880.00000000001</v>
      </c>
      <c r="H34" s="107">
        <f t="shared" si="2"/>
        <v>108900.00000000001</v>
      </c>
      <c r="I34" s="107">
        <f t="shared" si="3"/>
        <v>106920</v>
      </c>
      <c r="J34" s="56">
        <v>48</v>
      </c>
      <c r="L34" s="212" t="s">
        <v>997</v>
      </c>
      <c r="M34" s="12"/>
    </row>
    <row r="35" spans="1:13">
      <c r="A35" s="50" t="s">
        <v>1046</v>
      </c>
      <c r="B35" s="50" t="s">
        <v>1051</v>
      </c>
      <c r="C35" s="12" t="s">
        <v>1012</v>
      </c>
      <c r="D35" s="12">
        <v>16</v>
      </c>
      <c r="E35" s="107">
        <v>106232</v>
      </c>
      <c r="F35" s="107">
        <f t="shared" si="0"/>
        <v>127478.39999999999</v>
      </c>
      <c r="G35" s="107">
        <f t="shared" si="1"/>
        <v>118979.84000000001</v>
      </c>
      <c r="H35" s="107">
        <f t="shared" si="2"/>
        <v>116855.20000000001</v>
      </c>
      <c r="I35" s="107">
        <f t="shared" si="3"/>
        <v>114730.56000000001</v>
      </c>
      <c r="J35" s="56">
        <v>52</v>
      </c>
      <c r="L35" s="1"/>
      <c r="M35" s="1"/>
    </row>
    <row r="36" spans="1:13">
      <c r="A36" s="50" t="s">
        <v>1046</v>
      </c>
      <c r="B36" s="50" t="s">
        <v>1052</v>
      </c>
      <c r="C36" s="12" t="s">
        <v>992</v>
      </c>
      <c r="D36" s="12">
        <v>32</v>
      </c>
      <c r="E36" s="107">
        <v>83500</v>
      </c>
      <c r="F36" s="107">
        <f t="shared" si="0"/>
        <v>100200</v>
      </c>
      <c r="G36" s="107">
        <f t="shared" si="1"/>
        <v>93520.000000000015</v>
      </c>
      <c r="H36" s="107">
        <f t="shared" si="2"/>
        <v>91850.000000000015</v>
      </c>
      <c r="I36" s="107">
        <f t="shared" si="3"/>
        <v>90180</v>
      </c>
      <c r="J36" s="56">
        <v>56</v>
      </c>
      <c r="L36" s="25" t="s">
        <v>1079</v>
      </c>
      <c r="M36" s="21">
        <f>DSUM(A1:J41,"Custo",L33:L34)</f>
        <v>766000</v>
      </c>
    </row>
    <row r="37" spans="1:13">
      <c r="A37" s="50" t="s">
        <v>1053</v>
      </c>
      <c r="B37" s="50" t="s">
        <v>1054</v>
      </c>
      <c r="C37" s="12" t="s">
        <v>1010</v>
      </c>
      <c r="D37" s="12">
        <v>16</v>
      </c>
      <c r="E37" s="107">
        <v>325000</v>
      </c>
      <c r="F37" s="107">
        <f t="shared" si="0"/>
        <v>390000</v>
      </c>
      <c r="G37" s="107">
        <f t="shared" si="1"/>
        <v>364000.00000000006</v>
      </c>
      <c r="H37" s="107">
        <f t="shared" si="2"/>
        <v>357500</v>
      </c>
      <c r="I37" s="107">
        <f t="shared" si="3"/>
        <v>351000</v>
      </c>
      <c r="J37" s="56">
        <v>60</v>
      </c>
    </row>
    <row r="38" spans="1:13">
      <c r="A38" s="50" t="s">
        <v>1056</v>
      </c>
      <c r="B38" s="50" t="s">
        <v>1057</v>
      </c>
      <c r="C38" s="12" t="s">
        <v>992</v>
      </c>
      <c r="D38" s="12">
        <v>16</v>
      </c>
      <c r="E38" s="107">
        <v>38900</v>
      </c>
      <c r="F38" s="107">
        <f t="shared" si="0"/>
        <v>46680</v>
      </c>
      <c r="G38" s="107">
        <f t="shared" si="1"/>
        <v>43568.000000000007</v>
      </c>
      <c r="H38" s="107">
        <f t="shared" si="2"/>
        <v>42790</v>
      </c>
      <c r="I38" s="107">
        <f t="shared" si="3"/>
        <v>42012</v>
      </c>
      <c r="J38" s="56">
        <v>64</v>
      </c>
    </row>
    <row r="39" spans="1:13">
      <c r="A39" s="50" t="s">
        <v>1058</v>
      </c>
      <c r="B39" s="50" t="s">
        <v>1059</v>
      </c>
      <c r="C39" s="12" t="s">
        <v>1012</v>
      </c>
      <c r="D39" s="12">
        <v>16</v>
      </c>
      <c r="E39" s="107">
        <v>157000</v>
      </c>
      <c r="F39" s="107">
        <f t="shared" si="0"/>
        <v>188400</v>
      </c>
      <c r="G39" s="107">
        <f t="shared" si="1"/>
        <v>175840.00000000003</v>
      </c>
      <c r="H39" s="107">
        <f t="shared" si="2"/>
        <v>172700</v>
      </c>
      <c r="I39" s="107">
        <f t="shared" si="3"/>
        <v>169560</v>
      </c>
      <c r="J39" s="56">
        <v>68</v>
      </c>
    </row>
    <row r="40" spans="1:13">
      <c r="A40" s="50" t="s">
        <v>1060</v>
      </c>
      <c r="B40" s="50" t="s">
        <v>1061</v>
      </c>
      <c r="C40" s="12" t="s">
        <v>1030</v>
      </c>
      <c r="D40" s="12">
        <v>12</v>
      </c>
      <c r="E40" s="107">
        <v>62800</v>
      </c>
      <c r="F40" s="107">
        <f t="shared" si="0"/>
        <v>75360</v>
      </c>
      <c r="G40" s="107">
        <f t="shared" si="1"/>
        <v>70336</v>
      </c>
      <c r="H40" s="107">
        <f t="shared" si="2"/>
        <v>69080</v>
      </c>
      <c r="I40" s="107">
        <f t="shared" si="3"/>
        <v>67824</v>
      </c>
      <c r="J40" s="56">
        <v>72</v>
      </c>
    </row>
    <row r="41" spans="1:13">
      <c r="A41" s="50" t="s">
        <v>1060</v>
      </c>
      <c r="B41" s="50" t="s">
        <v>1062</v>
      </c>
      <c r="C41" s="26" t="s">
        <v>1030</v>
      </c>
      <c r="D41" s="26">
        <v>8</v>
      </c>
      <c r="E41" s="107">
        <v>44900</v>
      </c>
      <c r="F41" s="107">
        <f t="shared" si="0"/>
        <v>53880</v>
      </c>
      <c r="G41" s="107">
        <f t="shared" si="1"/>
        <v>50288.000000000007</v>
      </c>
      <c r="H41" s="107">
        <f t="shared" si="2"/>
        <v>49390.000000000007</v>
      </c>
      <c r="I41" s="107">
        <f t="shared" si="3"/>
        <v>48492</v>
      </c>
      <c r="J41" s="56">
        <v>76</v>
      </c>
    </row>
  </sheetData>
  <mergeCells count="10">
    <mergeCell ref="L2:M2"/>
    <mergeCell ref="L3:M3"/>
    <mergeCell ref="L10:M10"/>
    <mergeCell ref="L32:M32"/>
    <mergeCell ref="L11:M11"/>
    <mergeCell ref="L17:M17"/>
    <mergeCell ref="L18:M18"/>
    <mergeCell ref="L24:M24"/>
    <mergeCell ref="L25:M25"/>
    <mergeCell ref="L31:M31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Plan27"/>
  <dimension ref="A1:D7"/>
  <sheetViews>
    <sheetView workbookViewId="0">
      <selection activeCell="A4" sqref="A4"/>
    </sheetView>
  </sheetViews>
  <sheetFormatPr defaultRowHeight="15"/>
  <cols>
    <col min="1" max="2" width="17.7109375" bestFit="1" customWidth="1"/>
    <col min="3" max="3" width="9.140625" customWidth="1"/>
    <col min="4" max="4" width="46.28515625" customWidth="1"/>
  </cols>
  <sheetData>
    <row r="1" spans="1:4">
      <c r="A1" s="29" t="s">
        <v>879</v>
      </c>
      <c r="D1" s="29" t="s">
        <v>1082</v>
      </c>
    </row>
    <row r="2" spans="1:4">
      <c r="A2" s="1">
        <v>7</v>
      </c>
      <c r="D2" s="28" t="str">
        <f>IF(ISERROR(B7),"Valor Inválido","Certo")</f>
        <v>Certo</v>
      </c>
    </row>
    <row r="3" spans="1:4">
      <c r="A3" s="1">
        <v>4</v>
      </c>
      <c r="B3" s="29" t="s">
        <v>1081</v>
      </c>
    </row>
    <row r="4" spans="1:4">
      <c r="B4" s="28">
        <f>IF(ISERROR(A2/A3),"Valor Inválido",A2/A3)</f>
        <v>1.75</v>
      </c>
    </row>
    <row r="6" spans="1:4">
      <c r="B6" s="3" t="s">
        <v>1080</v>
      </c>
    </row>
    <row r="7" spans="1:4">
      <c r="B7" s="27" t="b">
        <f>ISERROR(B4)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Plan28"/>
  <dimension ref="A1:E6"/>
  <sheetViews>
    <sheetView workbookViewId="0">
      <selection activeCell="E3" sqref="E3"/>
    </sheetView>
  </sheetViews>
  <sheetFormatPr defaultRowHeight="15"/>
  <cols>
    <col min="1" max="1" width="14.28515625" bestFit="1" customWidth="1"/>
    <col min="2" max="2" width="11.85546875" customWidth="1"/>
    <col min="3" max="3" width="7.42578125" customWidth="1"/>
    <col min="4" max="4" width="12" bestFit="1" customWidth="1"/>
    <col min="5" max="5" width="10.7109375" bestFit="1" customWidth="1"/>
  </cols>
  <sheetData>
    <row r="1" spans="1:5">
      <c r="A1" s="11" t="s">
        <v>1083</v>
      </c>
      <c r="B1" s="11" t="s">
        <v>1084</v>
      </c>
    </row>
    <row r="2" spans="1:5">
      <c r="A2" s="113" t="s">
        <v>1085</v>
      </c>
      <c r="B2" s="30">
        <v>1.4999999999999999E-2</v>
      </c>
      <c r="D2" s="11" t="s">
        <v>1086</v>
      </c>
      <c r="E2" s="31">
        <f>FV(B2,B3,,-B5,B6)</f>
        <v>3447.3088124299975</v>
      </c>
    </row>
    <row r="3" spans="1:5">
      <c r="A3" s="113" t="s">
        <v>1087</v>
      </c>
      <c r="B3" s="12">
        <v>5</v>
      </c>
    </row>
    <row r="4" spans="1:5">
      <c r="A4" s="113" t="s">
        <v>1088</v>
      </c>
      <c r="B4" s="12"/>
    </row>
    <row r="5" spans="1:5">
      <c r="A5" s="113" t="s">
        <v>1089</v>
      </c>
      <c r="B5" s="12">
        <v>3200</v>
      </c>
    </row>
    <row r="6" spans="1:5">
      <c r="A6" s="113" t="s">
        <v>1090</v>
      </c>
      <c r="B6" s="12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Plan29"/>
  <dimension ref="A1:E6"/>
  <sheetViews>
    <sheetView workbookViewId="0">
      <selection activeCell="E3" sqref="E3"/>
    </sheetView>
  </sheetViews>
  <sheetFormatPr defaultRowHeight="15"/>
  <cols>
    <col min="1" max="2" width="14.28515625" bestFit="1" customWidth="1"/>
    <col min="4" max="4" width="9.42578125" customWidth="1"/>
    <col min="5" max="5" width="10.42578125" customWidth="1"/>
  </cols>
  <sheetData>
    <row r="1" spans="1:5">
      <c r="A1" s="11" t="s">
        <v>1083</v>
      </c>
      <c r="B1" s="11" t="s">
        <v>1084</v>
      </c>
    </row>
    <row r="2" spans="1:5">
      <c r="A2" s="113" t="s">
        <v>1085</v>
      </c>
      <c r="B2" s="30">
        <v>2.5000000000000001E-2</v>
      </c>
      <c r="D2" s="11" t="s">
        <v>1091</v>
      </c>
      <c r="E2" s="32">
        <f>NPER(B2,,-B4,B5,B6)</f>
        <v>7.0000003760480247</v>
      </c>
    </row>
    <row r="3" spans="1:5">
      <c r="A3" s="113" t="s">
        <v>1088</v>
      </c>
      <c r="B3" s="12"/>
    </row>
    <row r="4" spans="1:5">
      <c r="A4" s="113" t="s">
        <v>1089</v>
      </c>
      <c r="B4" s="12">
        <v>170000</v>
      </c>
    </row>
    <row r="5" spans="1:5">
      <c r="A5" s="115" t="s">
        <v>1092</v>
      </c>
      <c r="B5" s="21">
        <v>202076.58</v>
      </c>
    </row>
    <row r="6" spans="1:5">
      <c r="A6" s="113" t="s">
        <v>1090</v>
      </c>
      <c r="B6" s="12">
        <v>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Plan30"/>
  <dimension ref="A1:E6"/>
  <sheetViews>
    <sheetView workbookViewId="0">
      <selection activeCell="E3" sqref="E3"/>
    </sheetView>
  </sheetViews>
  <sheetFormatPr defaultRowHeight="15"/>
  <cols>
    <col min="1" max="1" width="14.28515625" bestFit="1" customWidth="1"/>
    <col min="2" max="2" width="16.5703125" customWidth="1"/>
    <col min="4" max="4" width="11" bestFit="1" customWidth="1"/>
    <col min="5" max="5" width="10.5703125" bestFit="1" customWidth="1"/>
  </cols>
  <sheetData>
    <row r="1" spans="1:5">
      <c r="A1" s="11" t="s">
        <v>1083</v>
      </c>
      <c r="B1" s="11" t="s">
        <v>1084</v>
      </c>
    </row>
    <row r="2" spans="1:5">
      <c r="A2" s="113" t="s">
        <v>1085</v>
      </c>
      <c r="B2" s="114">
        <v>1.9900000000000001E-2</v>
      </c>
      <c r="D2" s="11" t="s">
        <v>1093</v>
      </c>
      <c r="E2" s="116">
        <f>PMT(B2,B3,-B4,,B6)</f>
        <v>731.80806395298566</v>
      </c>
    </row>
    <row r="3" spans="1:5">
      <c r="A3" s="113" t="s">
        <v>1091</v>
      </c>
      <c r="B3" s="56">
        <v>60</v>
      </c>
    </row>
    <row r="4" spans="1:5">
      <c r="A4" s="113" t="s">
        <v>1089</v>
      </c>
      <c r="B4" s="56">
        <v>25500</v>
      </c>
    </row>
    <row r="5" spans="1:5">
      <c r="A5" s="115" t="s">
        <v>1092</v>
      </c>
      <c r="B5" s="107"/>
    </row>
    <row r="6" spans="1:5">
      <c r="A6" s="113" t="s">
        <v>1090</v>
      </c>
      <c r="B6" s="5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Plan31"/>
  <dimension ref="A1:E6"/>
  <sheetViews>
    <sheetView workbookViewId="0">
      <selection activeCell="E3" sqref="E3"/>
    </sheetView>
  </sheetViews>
  <sheetFormatPr defaultRowHeight="15"/>
  <cols>
    <col min="1" max="1" width="11.28515625" customWidth="1"/>
    <col min="2" max="2" width="14.28515625" bestFit="1" customWidth="1"/>
    <col min="4" max="4" width="14.28515625" bestFit="1" customWidth="1"/>
    <col min="5" max="5" width="13.5703125" bestFit="1" customWidth="1"/>
  </cols>
  <sheetData>
    <row r="1" spans="1:5">
      <c r="A1" s="11" t="s">
        <v>1083</v>
      </c>
      <c r="B1" s="11" t="s">
        <v>1084</v>
      </c>
    </row>
    <row r="2" spans="1:5">
      <c r="A2" s="113" t="s">
        <v>1085</v>
      </c>
      <c r="B2" s="114">
        <v>0.05</v>
      </c>
      <c r="D2" s="11" t="s">
        <v>1089</v>
      </c>
      <c r="E2" s="118">
        <f>PV(B2,B3,,-B5,B6)</f>
        <v>195000.00102837809</v>
      </c>
    </row>
    <row r="3" spans="1:5">
      <c r="A3" s="113" t="s">
        <v>1091</v>
      </c>
      <c r="B3" s="117">
        <v>4</v>
      </c>
    </row>
    <row r="4" spans="1:5">
      <c r="A4" s="113" t="s">
        <v>1088</v>
      </c>
      <c r="B4" s="56"/>
    </row>
    <row r="5" spans="1:5">
      <c r="A5" s="115" t="s">
        <v>1092</v>
      </c>
      <c r="B5" s="107">
        <v>237023.72</v>
      </c>
    </row>
    <row r="6" spans="1:5">
      <c r="A6" s="113" t="s">
        <v>1090</v>
      </c>
      <c r="B6" s="5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Plan32"/>
  <dimension ref="A1:E6"/>
  <sheetViews>
    <sheetView workbookViewId="0">
      <selection activeCell="E4" sqref="E4"/>
    </sheetView>
  </sheetViews>
  <sheetFormatPr defaultRowHeight="15"/>
  <cols>
    <col min="1" max="1" width="14.28515625" bestFit="1" customWidth="1"/>
    <col min="2" max="2" width="14.85546875" customWidth="1"/>
    <col min="4" max="4" width="5.7109375" customWidth="1"/>
  </cols>
  <sheetData>
    <row r="1" spans="1:5">
      <c r="A1" s="11" t="s">
        <v>1083</v>
      </c>
      <c r="B1" s="11" t="s">
        <v>1084</v>
      </c>
    </row>
    <row r="2" spans="1:5">
      <c r="A2" s="113" t="s">
        <v>1091</v>
      </c>
      <c r="B2" s="117">
        <v>7</v>
      </c>
    </row>
    <row r="3" spans="1:5">
      <c r="A3" s="113" t="s">
        <v>1088</v>
      </c>
      <c r="B3" s="107"/>
      <c r="D3" s="11" t="s">
        <v>1085</v>
      </c>
      <c r="E3" s="114">
        <f>RATE(B2,,-B4,B5,B6)</f>
        <v>8.7999589954285296E-3</v>
      </c>
    </row>
    <row r="4" spans="1:5">
      <c r="A4" s="113" t="s">
        <v>1089</v>
      </c>
      <c r="B4" s="118">
        <v>14000</v>
      </c>
    </row>
    <row r="5" spans="1:5">
      <c r="A5" s="115" t="s">
        <v>1092</v>
      </c>
      <c r="B5" s="118">
        <v>14885.5</v>
      </c>
    </row>
    <row r="6" spans="1:5">
      <c r="A6" s="113" t="s">
        <v>1090</v>
      </c>
      <c r="B6" s="5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Plan33"/>
  <dimension ref="A1:B9"/>
  <sheetViews>
    <sheetView workbookViewId="0">
      <selection activeCell="D5" sqref="D5"/>
    </sheetView>
  </sheetViews>
  <sheetFormatPr defaultRowHeight="15"/>
  <cols>
    <col min="1" max="1" width="19" bestFit="1" customWidth="1"/>
    <col min="2" max="2" width="20.5703125" bestFit="1" customWidth="1"/>
  </cols>
  <sheetData>
    <row r="1" spans="1:2">
      <c r="A1" s="33" t="s">
        <v>1145</v>
      </c>
      <c r="B1" s="21">
        <v>25500</v>
      </c>
    </row>
    <row r="2" spans="1:2">
      <c r="A2" s="33" t="s">
        <v>1094</v>
      </c>
      <c r="B2" s="30">
        <v>1.9900000000000001E-2</v>
      </c>
    </row>
    <row r="3" spans="1:2">
      <c r="A3" s="1"/>
      <c r="B3" s="1"/>
    </row>
    <row r="4" spans="1:2">
      <c r="A4" s="33" t="s">
        <v>1095</v>
      </c>
      <c r="B4" s="33" t="s">
        <v>1146</v>
      </c>
    </row>
    <row r="5" spans="1:2">
      <c r="A5" s="1">
        <v>12</v>
      </c>
      <c r="B5" s="118">
        <f>PMT($B$2,A5,-$B$1,,1)</f>
        <v>2362.7699753316347</v>
      </c>
    </row>
    <row r="6" spans="1:2">
      <c r="A6" s="13">
        <v>24</v>
      </c>
      <c r="B6" s="118">
        <f t="shared" ref="B6:B9" si="0">PMT($B$2,A6,-$B$1,,1)</f>
        <v>1320.4100316316722</v>
      </c>
    </row>
    <row r="7" spans="1:2">
      <c r="A7" s="13">
        <v>36</v>
      </c>
      <c r="B7" s="118">
        <f t="shared" si="0"/>
        <v>979.34285386406236</v>
      </c>
    </row>
    <row r="8" spans="1:2">
      <c r="A8" s="13">
        <v>48</v>
      </c>
      <c r="B8" s="118">
        <f t="shared" si="0"/>
        <v>813.46802183765681</v>
      </c>
    </row>
    <row r="9" spans="1:2">
      <c r="A9" s="13">
        <v>60</v>
      </c>
      <c r="B9" s="118">
        <f t="shared" si="0"/>
        <v>717.52923223157723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Plan35"/>
  <dimension ref="A1:D3"/>
  <sheetViews>
    <sheetView workbookViewId="0">
      <selection activeCell="A2" sqref="A2"/>
    </sheetView>
  </sheetViews>
  <sheetFormatPr defaultColWidth="15.28515625" defaultRowHeight="15"/>
  <cols>
    <col min="1" max="2" width="15.28515625" style="1"/>
    <col min="3" max="3" width="13.5703125" style="1" bestFit="1" customWidth="1"/>
    <col min="4" max="16384" width="15.28515625" style="1"/>
  </cols>
  <sheetData>
    <row r="1" spans="1:4">
      <c r="A1" s="4" t="s">
        <v>765</v>
      </c>
      <c r="B1" s="4" t="s">
        <v>796</v>
      </c>
      <c r="C1" s="4" t="s">
        <v>1147</v>
      </c>
      <c r="D1" s="4" t="s">
        <v>820</v>
      </c>
    </row>
    <row r="2" spans="1:4">
      <c r="A2" s="1" t="s">
        <v>1751</v>
      </c>
      <c r="B2" s="1">
        <v>7</v>
      </c>
      <c r="C2" s="34">
        <v>217</v>
      </c>
      <c r="D2" s="34">
        <f>C2*B2</f>
        <v>1519</v>
      </c>
    </row>
    <row r="3" spans="1:4">
      <c r="C3" s="34"/>
      <c r="D3" s="3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Plan36"/>
  <dimension ref="A1:D5"/>
  <sheetViews>
    <sheetView tabSelected="1" workbookViewId="0">
      <selection activeCell="A5" sqref="A5"/>
    </sheetView>
  </sheetViews>
  <sheetFormatPr defaultColWidth="16" defaultRowHeight="15"/>
  <cols>
    <col min="1" max="2" width="16" style="1"/>
    <col min="3" max="4" width="16" style="34"/>
    <col min="5" max="16384" width="16" style="1"/>
  </cols>
  <sheetData>
    <row r="1" spans="1:4">
      <c r="A1" s="4" t="s">
        <v>765</v>
      </c>
      <c r="B1" s="4" t="s">
        <v>796</v>
      </c>
      <c r="C1" s="35" t="s">
        <v>1147</v>
      </c>
      <c r="D1" s="35" t="s">
        <v>820</v>
      </c>
    </row>
    <row r="2" spans="1:4">
      <c r="A2" s="1" t="s">
        <v>1749</v>
      </c>
      <c r="B2" s="1">
        <v>8</v>
      </c>
      <c r="C2" s="34">
        <v>7.8</v>
      </c>
      <c r="D2" s="34">
        <f>C2*B2</f>
        <v>62.4</v>
      </c>
    </row>
    <row r="3" spans="1:4">
      <c r="A3" s="1" t="s">
        <v>1750</v>
      </c>
      <c r="B3" s="1">
        <v>4</v>
      </c>
      <c r="C3" s="34">
        <v>389</v>
      </c>
      <c r="D3" s="34">
        <f>C3*B3</f>
        <v>1556</v>
      </c>
    </row>
    <row r="4" spans="1:4">
      <c r="A4" s="1" t="s">
        <v>1750</v>
      </c>
      <c r="B4" s="1">
        <v>4</v>
      </c>
      <c r="C4" s="34">
        <v>389</v>
      </c>
      <c r="D4" s="34">
        <f>C4*B4</f>
        <v>1556</v>
      </c>
    </row>
    <row r="5" spans="1:4">
      <c r="A5" s="1" t="s">
        <v>1751</v>
      </c>
      <c r="B5" s="1">
        <v>7</v>
      </c>
      <c r="C5" s="34">
        <v>217</v>
      </c>
      <c r="D5" s="34">
        <f>C5*B5</f>
        <v>1519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36</vt:i4>
      </vt:variant>
      <vt:variant>
        <vt:lpstr>Intervalos nomeados</vt:lpstr>
      </vt:variant>
      <vt:variant>
        <vt:i4>5</vt:i4>
      </vt:variant>
    </vt:vector>
  </HeadingPairs>
  <TitlesOfParts>
    <vt:vector size="41" baseType="lpstr">
      <vt:lpstr>Nomes</vt:lpstr>
      <vt:lpstr>Organizando_Dados</vt:lpstr>
      <vt:lpstr>Subtotais</vt:lpstr>
      <vt:lpstr>Filtros</vt:lpstr>
      <vt:lpstr>Plan1</vt:lpstr>
      <vt:lpstr>Tabela_Dinamica</vt:lpstr>
      <vt:lpstr>Tabela dinâmica do cenário</vt:lpstr>
      <vt:lpstr>Plan2</vt:lpstr>
      <vt:lpstr>Plan3</vt:lpstr>
      <vt:lpstr>Resumo do cenário</vt:lpstr>
      <vt:lpstr>Tabela dinâmica do cenário 2</vt:lpstr>
      <vt:lpstr>Cenarios</vt:lpstr>
      <vt:lpstr>Protecao</vt:lpstr>
      <vt:lpstr>Validacao</vt:lpstr>
      <vt:lpstr>Inspecao</vt:lpstr>
      <vt:lpstr>Precedentes_Dependentes</vt:lpstr>
      <vt:lpstr>Atingir_Meta</vt:lpstr>
      <vt:lpstr>SOLVER</vt:lpstr>
      <vt:lpstr>Funcoes_de_Texto</vt:lpstr>
      <vt:lpstr>Mat_Trig</vt:lpstr>
      <vt:lpstr>Somase</vt:lpstr>
      <vt:lpstr>Estatisticas</vt:lpstr>
      <vt:lpstr>PROCH</vt:lpstr>
      <vt:lpstr>PROCV</vt:lpstr>
      <vt:lpstr>INDICE</vt:lpstr>
      <vt:lpstr>CORRESP</vt:lpstr>
      <vt:lpstr>Funcao_BD</vt:lpstr>
      <vt:lpstr>ÉERROS</vt:lpstr>
      <vt:lpstr>Funcao_VF</vt:lpstr>
      <vt:lpstr>Funcao_NPER</vt:lpstr>
      <vt:lpstr>Funcao_PGTO</vt:lpstr>
      <vt:lpstr>Funcao_VP</vt:lpstr>
      <vt:lpstr>Funcao_TAXA</vt:lpstr>
      <vt:lpstr>TABELA_DE_DADOS_1V</vt:lpstr>
      <vt:lpstr>CADASTRO</vt:lpstr>
      <vt:lpstr>BASEDADOS</vt:lpstr>
      <vt:lpstr>Filtros!Area_de_extracao</vt:lpstr>
      <vt:lpstr>Cota_Dolar</vt:lpstr>
      <vt:lpstr>Criterios</vt:lpstr>
      <vt:lpstr>Plan2!Documentos_importasdos</vt:lpstr>
      <vt:lpstr>Dolar_cota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2020-08-10T20:19:35Z</dcterms:modified>
</cp:coreProperties>
</file>